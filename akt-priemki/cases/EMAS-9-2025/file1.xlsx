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defaultThemeVersion="124226"/>
  <xr:revisionPtr revIDLastSave="0" documentId="8_{DDD9CEF0-B83B-498D-992D-6E379469CE15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EMAS отгрузка 1 в 26" sheetId="13" r:id="rId1"/>
    <sheet name="Затраты на доставку и ТО" sheetId="12" r:id="rId2"/>
  </sheets>
  <externalReferences>
    <externalReference r:id="rId3"/>
  </externalReferences>
  <definedNames>
    <definedName name="_FilterDatabase">'[1]Отгрузка ЭМАС 3'!$B$25:$U$73</definedName>
    <definedName name="Print_Area">'[1]Отгрузка ЭМАС 3'!$A$1:$U$84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4" i="12" l="1"/>
  <c r="M12" i="12"/>
  <c r="G12" i="12"/>
  <c r="B12" i="12"/>
  <c r="O11" i="12"/>
  <c r="M11" i="12"/>
  <c r="K11" i="12"/>
  <c r="I11" i="12"/>
  <c r="G11" i="12"/>
  <c r="E11" i="12"/>
  <c r="Q11" i="12" s="1"/>
  <c r="E10" i="12"/>
  <c r="Q10" i="12" s="1"/>
  <c r="Q12" i="12" s="1"/>
  <c r="B5" i="12"/>
  <c r="O12" i="12" s="1"/>
  <c r="B4" i="12"/>
  <c r="B6" i="12" s="1"/>
  <c r="A2" i="12"/>
  <c r="U80" i="13"/>
  <c r="T76" i="13"/>
  <c r="S73" i="13"/>
  <c r="O73" i="13"/>
  <c r="M73" i="13"/>
  <c r="D73" i="13"/>
  <c r="Q73" i="13" s="1"/>
  <c r="S72" i="13"/>
  <c r="S71" i="13"/>
  <c r="K66" i="13"/>
  <c r="K65" i="13"/>
  <c r="I29" i="13"/>
  <c r="K29" i="13" s="1"/>
  <c r="I28" i="13"/>
  <c r="K28" i="13" s="1"/>
  <c r="K40" i="13" l="1"/>
  <c r="K67" i="13" s="1"/>
  <c r="K68" i="13" s="1"/>
  <c r="L68" i="13" s="1"/>
  <c r="E12" i="12"/>
  <c r="I73" i="13"/>
  <c r="I12" i="12"/>
  <c r="G73" i="13"/>
  <c r="K73" i="13"/>
  <c r="K1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G7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Репина:</t>
        </r>
        <r>
          <rPr>
            <sz val="9"/>
            <color indexed="81"/>
            <rFont val="Tahoma"/>
            <family val="2"/>
            <charset val="204"/>
          </rPr>
          <t xml:space="preserve">
нет НДС</t>
        </r>
      </text>
    </comment>
    <comment ref="I7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Репина:</t>
        </r>
        <r>
          <rPr>
            <sz val="9"/>
            <color indexed="81"/>
            <rFont val="Tahoma"/>
            <family val="2"/>
            <charset val="204"/>
          </rPr>
          <t xml:space="preserve">
без ндс</t>
        </r>
      </text>
    </comment>
    <comment ref="K7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Репина:</t>
        </r>
        <r>
          <rPr>
            <sz val="9"/>
            <color indexed="81"/>
            <rFont val="Tahoma"/>
            <family val="2"/>
            <charset val="204"/>
          </rPr>
          <t xml:space="preserve">
нет НДС</t>
        </r>
      </text>
    </comment>
  </commentList>
</comments>
</file>

<file path=xl/sharedStrings.xml><?xml version="1.0" encoding="utf-8"?>
<sst xmlns="http://schemas.openxmlformats.org/spreadsheetml/2006/main" count="155" uniqueCount="83">
  <si>
    <t>УТВЕРЖДАЮ:</t>
  </si>
  <si>
    <t>Руководитель предприятия</t>
  </si>
  <si>
    <t xml:space="preserve"> Алтухова Е.А. __________________ </t>
  </si>
  <si>
    <t xml:space="preserve"> "____" _________________ 2026 г.</t>
  </si>
  <si>
    <t>Акт № 1</t>
  </si>
  <si>
    <t>о приёмке товарно-материальных ценностей</t>
  </si>
  <si>
    <t>от 27.01.2026 г.</t>
  </si>
  <si>
    <t>Инвойс EMA2025000005907, EMA2025000005908 от 09.12.2025</t>
  </si>
  <si>
    <t>Упаковочный лист (количество мест,  вес, объем) 250 коробок, 10 паллет, 25,8 м³, вес брутто - 5 059 кг, вес нетто - 4 766,32 кг.</t>
  </si>
  <si>
    <t>Состояние упаковки (вскрытая, потертая, помятая, рваная и т.д.) – удовлетворительное.</t>
  </si>
  <si>
    <t>Дата забора груза от отправителя:</t>
  </si>
  <si>
    <t xml:space="preserve"> г.</t>
  </si>
  <si>
    <t>Дата выезда продукции (товара) из г. Стамбул:</t>
  </si>
  <si>
    <t xml:space="preserve">Дата ТО (таможенного оформления): </t>
  </si>
  <si>
    <t>Дата поступления продукции (товара) на склад:</t>
  </si>
  <si>
    <t>Поступление:</t>
  </si>
  <si>
    <t>EMAS инвойс</t>
  </si>
  <si>
    <t>EUR</t>
  </si>
  <si>
    <t>Мы, нижеподписавшиеся, составили настоящий акт о приёмке товарно-материальных ценностей:</t>
  </si>
  <si>
    <t xml:space="preserve"> Этапы сверки</t>
  </si>
  <si>
    <t>№
п/п</t>
  </si>
  <si>
    <t>Этапы сверки</t>
  </si>
  <si>
    <t>Номенклатура</t>
  </si>
  <si>
    <t>Кол-во, шт</t>
  </si>
  <si>
    <t>Цена за ед.,
евро
(EXW)</t>
  </si>
  <si>
    <t>Итого,
евро
(EXW)</t>
  </si>
  <si>
    <t>Заказ поставщику</t>
  </si>
  <si>
    <t>Примечание</t>
  </si>
  <si>
    <t>Ответственный</t>
  </si>
  <si>
    <t>в инвойсе</t>
  </si>
  <si>
    <t>факт</t>
  </si>
  <si>
    <t>∆</t>
  </si>
  <si>
    <t>Расхождения между упаковочным листом и инвойсом</t>
  </si>
  <si>
    <t>Нет</t>
  </si>
  <si>
    <t>Макеева И.В.</t>
  </si>
  <si>
    <t>Расхождения между  упаковочным листом и пришедшим товаром</t>
  </si>
  <si>
    <t>CSMKOLTAK</t>
  </si>
  <si>
    <t>Излишек</t>
  </si>
  <si>
    <t>Макеева И.В.
Никулин А.И.</t>
  </si>
  <si>
    <t>CSMKOLTAK3</t>
  </si>
  <si>
    <t>+30% от стоимости затраты НДС, пошлины</t>
  </si>
  <si>
    <t>Итого:</t>
  </si>
  <si>
    <t>Расхождения по ценам инвойса и входным в программе 1С</t>
  </si>
  <si>
    <t>Есть: 50 позиций — L52K13MUM331: инвойс 6.58, 1С 6.58; PA1155: инвойс 3.67, 1С 3.67; PA8851-10B: инвойс 22.70, 1С 22.70; CP100DS: инвойс 1.60, 1С 1.60; IKM5K: инвойс 2.67, 1С 2.67; IK53L024XM03: инвойс 20.99, 1С 20.99</t>
  </si>
  <si>
    <t>Сверено с документом 1С «Приобретение товаров № КА-450 от 18 декабря 2025 г.». ВНИМАНИЕ: в 1С колонка «Сумма» ≠ кол-во×цена по 53 поз. (L52K13MUM331, PA1155, PA8851-10B, CP100DS, IKM5K) — итого +2,23 EUR; итог документа завышен</t>
  </si>
  <si>
    <t>Расхождения между инвойсом и заказом поставщику (справочно)</t>
  </si>
  <si>
    <t>Расхождение по сумме поступлений и инвойса</t>
  </si>
  <si>
    <t xml:space="preserve">1. Стоимость товара согласно таможенным документам (сумма в инвойсе) составила: </t>
  </si>
  <si>
    <t>2. Стоимость фактического поступившего товара с оприходованием и недостачей составила:</t>
  </si>
  <si>
    <t>3. Разница в стоимости между фактическим поступлением и инвойсом составляет:</t>
  </si>
  <si>
    <t>Затраты на доставку и ТО</t>
  </si>
  <si>
    <t>Инвойс</t>
  </si>
  <si>
    <t>Стоимость доставки до границы ("КВТ Сервис")</t>
  </si>
  <si>
    <t>Стоимость доставки РФ + Брокер ("КВТ Сервис")</t>
  </si>
  <si>
    <t>Погрузо-разгрузочные 
работы ("КВТ Сервис")</t>
  </si>
  <si>
    <t>Таможенный сбор</t>
  </si>
  <si>
    <t>Пошлина</t>
  </si>
  <si>
    <t>НДС</t>
  </si>
  <si>
    <t>Оплатили по факту и
% от инвойса</t>
  </si>
  <si>
    <t>доллар</t>
  </si>
  <si>
    <t>евро</t>
  </si>
  <si>
    <t>поставщик</t>
  </si>
  <si>
    <t>%</t>
  </si>
  <si>
    <t>рубли</t>
  </si>
  <si>
    <t>EMAS</t>
  </si>
  <si>
    <t>Курс валют на:</t>
  </si>
  <si>
    <t xml:space="preserve">Начальник склада:  </t>
  </si>
  <si>
    <t>"27" января 2026г.</t>
  </si>
  <si>
    <t>/А.И. Никулин</t>
  </si>
  <si>
    <t>г.</t>
  </si>
  <si>
    <t>валюта</t>
  </si>
  <si>
    <t>₱ рубль</t>
  </si>
  <si>
    <t>1$ доллар</t>
  </si>
  <si>
    <t>Продакт-менеджер:</t>
  </si>
  <si>
    <t>/ И.В. Макеева</t>
  </si>
  <si>
    <t>1евро</t>
  </si>
  <si>
    <t>К =1€ / 1$</t>
  </si>
  <si>
    <t>Главный бухгалтер:</t>
  </si>
  <si>
    <t>/ А.С. Мосеенков</t>
  </si>
  <si>
    <t>Валюта</t>
  </si>
  <si>
    <t>/ Макеева И.В.</t>
  </si>
  <si>
    <t>"  " апреля 2026 г.</t>
  </si>
  <si>
    <t>/ Мосеенков А.С.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</si>
</sst>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#,##0.00_ ;\-#,##0.00\ "/>
    <numFmt numFmtId="166" formatCode="_-[$€-2]\ * #,##0.00_-;\-[$€-2]\ * #,##0.00_-;_-[$€-2]\ * &quot;-&quot;??_-;_-@_-"/>
    <numFmt numFmtId="167" formatCode="0.0000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4" fontId="1" fillId="0" borderId="0" xfId="0" applyNumberFormat="1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64" fontId="6" fillId="2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165" fontId="8" fillId="2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" fontId="3" fillId="0" borderId="14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/>
    </xf>
    <xf numFmtId="0" fontId="3" fillId="0" borderId="19" xfId="0" applyFont="1" applyBorder="1" applyAlignment="1">
      <alignment horizontal="center" vertical="center" wrapText="1"/>
    </xf>
    <xf numFmtId="3" fontId="3" fillId="2" borderId="21" xfId="0" applyNumberFormat="1" applyFont="1" applyFill="1" applyBorder="1" applyAlignment="1">
      <alignment horizontal="center" vertical="center"/>
    </xf>
    <xf numFmtId="3" fontId="3" fillId="2" borderId="22" xfId="0" applyNumberFormat="1" applyFont="1" applyFill="1" applyBorder="1" applyAlignment="1">
      <alignment horizontal="center" vertical="center"/>
    </xf>
    <xf numFmtId="3" fontId="3" fillId="2" borderId="23" xfId="0" applyNumberFormat="1" applyFont="1" applyFill="1" applyBorder="1" applyAlignment="1">
      <alignment horizontal="center" vertical="center"/>
    </xf>
    <xf numFmtId="2" fontId="3" fillId="2" borderId="24" xfId="0" applyNumberFormat="1" applyFont="1" applyFill="1" applyBorder="1" applyAlignment="1">
      <alignment horizontal="center" vertical="center"/>
    </xf>
    <xf numFmtId="2" fontId="3" fillId="2" borderId="25" xfId="0" applyNumberFormat="1" applyFont="1" applyFill="1" applyBorder="1" applyAlignment="1">
      <alignment horizontal="center" vertical="center"/>
    </xf>
    <xf numFmtId="2" fontId="3" fillId="0" borderId="26" xfId="0" applyNumberFormat="1" applyFont="1" applyBorder="1" applyAlignment="1">
      <alignment vertical="center"/>
    </xf>
    <xf numFmtId="2" fontId="3" fillId="0" borderId="27" xfId="0" applyNumberFormat="1" applyFont="1" applyBorder="1" applyAlignment="1">
      <alignment vertical="center" wrapText="1"/>
    </xf>
    <xf numFmtId="2" fontId="3" fillId="0" borderId="28" xfId="0" applyNumberFormat="1" applyFont="1" applyBorder="1" applyAlignment="1">
      <alignment vertical="center" wrapText="1"/>
    </xf>
    <xf numFmtId="0" fontId="3" fillId="0" borderId="29" xfId="0" applyFont="1" applyBorder="1" applyAlignment="1">
      <alignment horizontal="center" vertical="top"/>
    </xf>
    <xf numFmtId="3" fontId="3" fillId="2" borderId="30" xfId="0" applyNumberFormat="1" applyFont="1" applyFill="1" applyBorder="1" applyAlignment="1">
      <alignment vertical="center"/>
    </xf>
    <xf numFmtId="3" fontId="3" fillId="2" borderId="31" xfId="0" applyNumberFormat="1" applyFont="1" applyFill="1" applyBorder="1" applyAlignment="1">
      <alignment vertical="center"/>
    </xf>
    <xf numFmtId="2" fontId="3" fillId="0" borderId="27" xfId="0" applyNumberFormat="1" applyFont="1" applyBorder="1" applyAlignment="1">
      <alignment vertical="center"/>
    </xf>
    <xf numFmtId="2" fontId="3" fillId="0" borderId="28" xfId="0" applyNumberFormat="1" applyFont="1" applyBorder="1" applyAlignment="1">
      <alignment vertical="center"/>
    </xf>
    <xf numFmtId="3" fontId="3" fillId="2" borderId="28" xfId="0" applyNumberFormat="1" applyFont="1" applyFill="1" applyBorder="1" applyAlignment="1">
      <alignment vertical="center"/>
    </xf>
    <xf numFmtId="3" fontId="3" fillId="2" borderId="24" xfId="0" applyNumberFormat="1" applyFont="1" applyFill="1" applyBorder="1" applyAlignment="1">
      <alignment horizontal="center" vertical="center"/>
    </xf>
    <xf numFmtId="3" fontId="3" fillId="3" borderId="30" xfId="0" applyNumberFormat="1" applyFont="1" applyFill="1" applyBorder="1" applyAlignment="1">
      <alignment vertical="center"/>
    </xf>
    <xf numFmtId="3" fontId="3" fillId="0" borderId="31" xfId="0" applyNumberFormat="1" applyFont="1" applyBorder="1" applyAlignment="1">
      <alignment vertical="center"/>
    </xf>
    <xf numFmtId="3" fontId="3" fillId="3" borderId="24" xfId="0" applyNumberFormat="1" applyFont="1" applyFill="1" applyBorder="1" applyAlignment="1">
      <alignment horizontal="center" vertical="center"/>
    </xf>
    <xf numFmtId="3" fontId="3" fillId="3" borderId="23" xfId="0" applyNumberFormat="1" applyFont="1" applyFill="1" applyBorder="1" applyAlignment="1">
      <alignment horizontal="center" vertical="center"/>
    </xf>
    <xf numFmtId="2" fontId="3" fillId="3" borderId="32" xfId="0" applyNumberFormat="1" applyFont="1" applyFill="1" applyBorder="1" applyAlignment="1">
      <alignment horizontal="center" vertical="center"/>
    </xf>
    <xf numFmtId="2" fontId="3" fillId="0" borderId="25" xfId="0" applyNumberFormat="1" applyFont="1" applyBorder="1" applyAlignment="1">
      <alignment horizontal="center" vertical="center"/>
    </xf>
    <xf numFmtId="3" fontId="3" fillId="0" borderId="28" xfId="0" applyNumberFormat="1" applyFont="1" applyBorder="1" applyAlignment="1">
      <alignment vertical="center"/>
    </xf>
    <xf numFmtId="2" fontId="3" fillId="3" borderId="33" xfId="0" applyNumberFormat="1" applyFont="1" applyFill="1" applyBorder="1" applyAlignment="1">
      <alignment horizontal="center" vertical="center"/>
    </xf>
    <xf numFmtId="2" fontId="3" fillId="0" borderId="27" xfId="0" applyNumberFormat="1" applyFont="1" applyBorder="1" applyAlignment="1">
      <alignment horizontal="left" vertical="center"/>
    </xf>
    <xf numFmtId="2" fontId="3" fillId="0" borderId="27" xfId="0" applyNumberFormat="1" applyFont="1" applyBorder="1" applyAlignment="1">
      <alignment horizontal="left" vertical="center" wrapText="1" indent="1"/>
    </xf>
    <xf numFmtId="2" fontId="3" fillId="0" borderId="28" xfId="0" applyNumberFormat="1" applyFont="1" applyBorder="1" applyAlignment="1">
      <alignment horizontal="left" vertical="center" wrapText="1" indent="1"/>
    </xf>
    <xf numFmtId="3" fontId="3" fillId="0" borderId="30" xfId="0" applyNumberFormat="1" applyFont="1" applyBorder="1" applyAlignment="1">
      <alignment vertical="center"/>
    </xf>
    <xf numFmtId="3" fontId="3" fillId="0" borderId="34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 vertical="center"/>
    </xf>
    <xf numFmtId="3" fontId="3" fillId="0" borderId="35" xfId="0" applyNumberFormat="1" applyFont="1" applyBorder="1" applyAlignment="1">
      <alignment horizontal="center" vertical="center"/>
    </xf>
    <xf numFmtId="3" fontId="3" fillId="3" borderId="36" xfId="0" applyNumberFormat="1" applyFont="1" applyFill="1" applyBorder="1" applyAlignment="1">
      <alignment horizontal="center" vertical="center"/>
    </xf>
    <xf numFmtId="2" fontId="3" fillId="0" borderId="33" xfId="0" applyNumberFormat="1" applyFont="1" applyBorder="1" applyAlignment="1">
      <alignment horizontal="center" vertical="center"/>
    </xf>
    <xf numFmtId="2" fontId="3" fillId="0" borderId="26" xfId="0" applyNumberFormat="1" applyFont="1" applyBorder="1" applyAlignment="1">
      <alignment horizontal="left" vertical="center" wrapText="1" indent="1"/>
    </xf>
    <xf numFmtId="3" fontId="3" fillId="0" borderId="1" xfId="0" applyNumberFormat="1" applyFont="1" applyBorder="1" applyAlignment="1">
      <alignment horizontal="center" vertical="center"/>
    </xf>
    <xf numFmtId="3" fontId="3" fillId="3" borderId="37" xfId="0" applyNumberFormat="1" applyFont="1" applyFill="1" applyBorder="1" applyAlignment="1">
      <alignment horizontal="center" vertical="center"/>
    </xf>
    <xf numFmtId="3" fontId="3" fillId="0" borderId="21" xfId="0" applyNumberFormat="1" applyFont="1" applyBorder="1" applyAlignment="1">
      <alignment horizontal="center" vertical="center"/>
    </xf>
    <xf numFmtId="3" fontId="3" fillId="0" borderId="22" xfId="0" applyNumberFormat="1" applyFont="1" applyBorder="1" applyAlignment="1">
      <alignment horizontal="center" vertical="center"/>
    </xf>
    <xf numFmtId="3" fontId="3" fillId="0" borderId="36" xfId="0" applyNumberFormat="1" applyFont="1" applyBorder="1" applyAlignment="1">
      <alignment horizontal="center" vertical="center"/>
    </xf>
    <xf numFmtId="2" fontId="3" fillId="0" borderId="30" xfId="0" applyNumberFormat="1" applyFont="1" applyBorder="1" applyAlignment="1">
      <alignment vertical="center"/>
    </xf>
    <xf numFmtId="2" fontId="3" fillId="0" borderId="1" xfId="0" applyNumberFormat="1" applyFont="1" applyBorder="1" applyAlignment="1">
      <alignment vertical="center"/>
    </xf>
    <xf numFmtId="2" fontId="3" fillId="0" borderId="31" xfId="0" applyNumberFormat="1" applyFont="1" applyBorder="1" applyAlignment="1">
      <alignment vertical="center"/>
    </xf>
    <xf numFmtId="2" fontId="3" fillId="0" borderId="9" xfId="0" applyNumberFormat="1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3" fontId="3" fillId="0" borderId="33" xfId="0" applyNumberFormat="1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3" fontId="3" fillId="0" borderId="37" xfId="0" applyNumberFormat="1" applyFont="1" applyBorder="1" applyAlignment="1">
      <alignment horizontal="center" vertical="center"/>
    </xf>
    <xf numFmtId="2" fontId="9" fillId="0" borderId="17" xfId="0" applyNumberFormat="1" applyFont="1" applyBorder="1" applyAlignment="1">
      <alignment horizontal="center" vertical="center"/>
    </xf>
    <xf numFmtId="4" fontId="9" fillId="0" borderId="3" xfId="0" applyNumberFormat="1" applyFont="1" applyBorder="1" applyAlignment="1">
      <alignment horizontal="center" vertical="center"/>
    </xf>
    <xf numFmtId="4" fontId="9" fillId="0" borderId="42" xfId="0" applyNumberFormat="1" applyFont="1" applyBorder="1" applyAlignment="1">
      <alignment horizontal="center" vertical="center"/>
    </xf>
    <xf numFmtId="4" fontId="9" fillId="0" borderId="44" xfId="0" applyNumberFormat="1" applyFont="1" applyBorder="1" applyAlignment="1">
      <alignment horizontal="center" vertical="center"/>
    </xf>
    <xf numFmtId="0" fontId="14" fillId="0" borderId="0" xfId="0" applyFont="1"/>
    <xf numFmtId="0" fontId="3" fillId="0" borderId="40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2" fontId="3" fillId="0" borderId="47" xfId="0" applyNumberFormat="1" applyFont="1" applyBorder="1" applyAlignment="1">
      <alignment horizontal="center" vertical="center"/>
    </xf>
    <xf numFmtId="1" fontId="3" fillId="0" borderId="46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4" fontId="3" fillId="2" borderId="45" xfId="0" applyNumberFormat="1" applyFont="1" applyFill="1" applyBorder="1" applyAlignment="1">
      <alignment horizontal="center" vertical="center"/>
    </xf>
    <xf numFmtId="1" fontId="3" fillId="0" borderId="49" xfId="0" applyNumberFormat="1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4" fontId="3" fillId="0" borderId="51" xfId="0" applyNumberFormat="1" applyFont="1" applyBorder="1" applyAlignment="1">
      <alignment horizontal="center" vertical="center"/>
    </xf>
    <xf numFmtId="4" fontId="3" fillId="0" borderId="53" xfId="0" applyNumberFormat="1" applyFont="1" applyBorder="1" applyAlignment="1">
      <alignment horizontal="center" vertical="center" wrapText="1"/>
    </xf>
    <xf numFmtId="4" fontId="3" fillId="0" borderId="54" xfId="0" applyNumberFormat="1" applyFont="1" applyBorder="1" applyAlignment="1">
      <alignment horizontal="center" vertical="center" wrapText="1"/>
    </xf>
    <xf numFmtId="1" fontId="3" fillId="0" borderId="53" xfId="0" applyNumberFormat="1" applyFont="1" applyBorder="1" applyAlignment="1">
      <alignment horizontal="center" vertical="center" wrapText="1"/>
    </xf>
    <xf numFmtId="4" fontId="3" fillId="0" borderId="38" xfId="0" applyNumberFormat="1" applyFont="1" applyBorder="1" applyAlignment="1">
      <alignment horizontal="center" vertical="center" wrapText="1"/>
    </xf>
    <xf numFmtId="4" fontId="3" fillId="0" borderId="4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/>
    <xf numFmtId="0" fontId="3" fillId="0" borderId="0" xfId="0" applyFont="1" applyAlignment="1">
      <alignment vertical="center"/>
    </xf>
    <xf numFmtId="0" fontId="3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right" vertical="center" wrapText="1"/>
    </xf>
    <xf numFmtId="14" fontId="3" fillId="0" borderId="10" xfId="0" applyNumberFormat="1" applyFont="1" applyBorder="1" applyAlignment="1">
      <alignment horizontal="right" vertical="center" wrapText="1"/>
    </xf>
    <xf numFmtId="0" fontId="3" fillId="0" borderId="11" xfId="0" applyFont="1" applyBorder="1" applyAlignment="1">
      <alignment vertical="center" wrapText="1"/>
    </xf>
    <xf numFmtId="167" fontId="3" fillId="2" borderId="5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7" fontId="3" fillId="2" borderId="33" xfId="0" applyNumberFormat="1" applyFont="1" applyFill="1" applyBorder="1" applyAlignment="1">
      <alignment horizontal="center" vertical="center" wrapText="1"/>
    </xf>
    <xf numFmtId="167" fontId="3" fillId="0" borderId="56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2" fontId="1" fillId="0" borderId="0" xfId="0" applyNumberFormat="1" applyFont="1"/>
    <xf numFmtId="0" fontId="3" fillId="0" borderId="5" xfId="0" applyFont="1" applyBorder="1" applyAlignment="1">
      <alignment horizontal="left" vertical="center" wrapText="1"/>
    </xf>
    <xf numFmtId="14" fontId="9" fillId="0" borderId="0" xfId="0" applyNumberFormat="1" applyFont="1" applyAlignment="1">
      <alignment horizontal="left" vertical="center" wrapText="1"/>
    </xf>
    <xf numFmtId="0" fontId="3" fillId="0" borderId="17" xfId="0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167" fontId="3" fillId="0" borderId="31" xfId="0" applyNumberFormat="1" applyFont="1" applyBorder="1" applyAlignment="1">
      <alignment horizontal="center" vertical="center" wrapText="1"/>
    </xf>
    <xf numFmtId="0" fontId="3" fillId="0" borderId="33" xfId="0" applyFont="1" applyBorder="1" applyAlignment="1">
      <alignment vertical="center" wrapText="1"/>
    </xf>
    <xf numFmtId="167" fontId="3" fillId="0" borderId="28" xfId="0" applyNumberFormat="1" applyFont="1" applyBorder="1" applyAlignment="1">
      <alignment horizontal="center" vertical="center" wrapText="1"/>
    </xf>
    <xf numFmtId="0" fontId="3" fillId="0" borderId="56" xfId="0" applyFont="1" applyBorder="1" applyAlignment="1">
      <alignment vertical="center" wrapText="1"/>
    </xf>
    <xf numFmtId="0" fontId="3" fillId="0" borderId="4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4" fontId="3" fillId="0" borderId="4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/>
    <xf numFmtId="0" fontId="6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3" fontId="3" fillId="2" borderId="6" xfId="0" applyNumberFormat="1" applyFont="1" applyFill="1" applyBorder="1" applyAlignment="1">
      <alignment horizontal="center" vertical="center"/>
    </xf>
    <xf numFmtId="3" fontId="3" fillId="2" borderId="8" xfId="0" applyNumberFormat="1" applyFont="1" applyFill="1" applyBorder="1" applyAlignment="1">
      <alignment horizontal="center" vertical="center"/>
    </xf>
    <xf numFmtId="2" fontId="3" fillId="3" borderId="6" xfId="0" applyNumberFormat="1" applyFont="1" applyFill="1" applyBorder="1" applyAlignment="1">
      <alignment vertical="center"/>
    </xf>
    <xf numFmtId="2" fontId="3" fillId="3" borderId="7" xfId="0" applyNumberFormat="1" applyFont="1" applyFill="1" applyBorder="1" applyAlignment="1">
      <alignment vertical="center"/>
    </xf>
    <xf numFmtId="2" fontId="3" fillId="3" borderId="8" xfId="0" applyNumberFormat="1" applyFont="1" applyFill="1" applyBorder="1" applyAlignment="1">
      <alignment vertical="center"/>
    </xf>
    <xf numFmtId="0" fontId="9" fillId="0" borderId="5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13" xfId="0" applyFont="1" applyBorder="1" applyAlignment="1">
      <alignment horizontal="center" vertical="top" wrapText="1"/>
    </xf>
    <xf numFmtId="0" fontId="9" fillId="0" borderId="16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center" vertical="top" wrapText="1"/>
    </xf>
    <xf numFmtId="0" fontId="9" fillId="0" borderId="1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/>
    </xf>
    <xf numFmtId="0" fontId="3" fillId="0" borderId="29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2" fontId="3" fillId="0" borderId="26" xfId="0" applyNumberFormat="1" applyFont="1" applyBorder="1" applyAlignment="1">
      <alignment vertical="center"/>
    </xf>
    <xf numFmtId="2" fontId="3" fillId="0" borderId="27" xfId="0" applyNumberFormat="1" applyFont="1" applyBorder="1" applyAlignment="1">
      <alignment vertical="center"/>
    </xf>
    <xf numFmtId="2" fontId="3" fillId="0" borderId="28" xfId="0" applyNumberFormat="1" applyFont="1" applyBorder="1" applyAlignment="1">
      <alignment vertical="center"/>
    </xf>
    <xf numFmtId="2" fontId="3" fillId="3" borderId="26" xfId="0" applyNumberFormat="1" applyFont="1" applyFill="1" applyBorder="1" applyAlignment="1">
      <alignment vertical="center" wrapText="1"/>
    </xf>
    <xf numFmtId="2" fontId="3" fillId="3" borderId="27" xfId="0" applyNumberFormat="1" applyFont="1" applyFill="1" applyBorder="1" applyAlignment="1">
      <alignment vertical="center" wrapText="1"/>
    </xf>
    <xf numFmtId="2" fontId="3" fillId="0" borderId="26" xfId="0" applyNumberFormat="1" applyFont="1" applyBorder="1" applyAlignment="1">
      <alignment vertical="center" wrapText="1"/>
    </xf>
    <xf numFmtId="2" fontId="3" fillId="0" borderId="27" xfId="0" applyNumberFormat="1" applyFont="1" applyBorder="1" applyAlignment="1">
      <alignment vertical="center" wrapText="1"/>
    </xf>
    <xf numFmtId="2" fontId="3" fillId="0" borderId="28" xfId="0" applyNumberFormat="1" applyFont="1" applyBorder="1" applyAlignment="1">
      <alignment vertical="center" wrapText="1"/>
    </xf>
    <xf numFmtId="2" fontId="3" fillId="3" borderId="28" xfId="0" applyNumberFormat="1" applyFont="1" applyFill="1" applyBorder="1" applyAlignment="1">
      <alignment vertical="center" wrapText="1"/>
    </xf>
    <xf numFmtId="2" fontId="3" fillId="3" borderId="26" xfId="0" applyNumberFormat="1" applyFont="1" applyFill="1" applyBorder="1" applyAlignment="1">
      <alignment horizontal="left" vertical="center" wrapText="1"/>
    </xf>
    <xf numFmtId="2" fontId="3" fillId="3" borderId="27" xfId="0" applyNumberFormat="1" applyFont="1" applyFill="1" applyBorder="1" applyAlignment="1">
      <alignment horizontal="left" vertical="center" wrapText="1"/>
    </xf>
    <xf numFmtId="2" fontId="3" fillId="0" borderId="26" xfId="0" applyNumberFormat="1" applyFont="1" applyBorder="1" applyAlignment="1">
      <alignment horizontal="left" vertical="center" wrapText="1" indent="1"/>
    </xf>
    <xf numFmtId="2" fontId="3" fillId="0" borderId="27" xfId="0" applyNumberFormat="1" applyFont="1" applyBorder="1" applyAlignment="1">
      <alignment horizontal="left" vertical="center" wrapText="1" indent="1"/>
    </xf>
    <xf numFmtId="2" fontId="3" fillId="0" borderId="28" xfId="0" applyNumberFormat="1" applyFont="1" applyBorder="1" applyAlignment="1">
      <alignment horizontal="left" vertical="center" wrapText="1" indent="1"/>
    </xf>
    <xf numFmtId="0" fontId="9" fillId="0" borderId="3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2" fontId="3" fillId="0" borderId="38" xfId="0" applyNumberFormat="1" applyFont="1" applyBorder="1" applyAlignment="1">
      <alignment horizontal="center" vertical="center" wrapText="1"/>
    </xf>
    <xf numFmtId="2" fontId="3" fillId="0" borderId="39" xfId="0" applyNumberFormat="1" applyFont="1" applyBorder="1" applyAlignment="1">
      <alignment horizontal="center" vertical="center" wrapText="1"/>
    </xf>
    <xf numFmtId="2" fontId="3" fillId="0" borderId="40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top"/>
    </xf>
    <xf numFmtId="0" fontId="3" fillId="0" borderId="18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2" fontId="3" fillId="0" borderId="5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30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31" xfId="0" applyNumberFormat="1" applyFont="1" applyBorder="1" applyAlignment="1">
      <alignment horizontal="center" vertical="center"/>
    </xf>
    <xf numFmtId="2" fontId="3" fillId="3" borderId="5" xfId="0" applyNumberFormat="1" applyFont="1" applyFill="1" applyBorder="1" applyAlignment="1">
      <alignment horizontal="center" vertical="center" wrapText="1"/>
    </xf>
    <xf numFmtId="2" fontId="3" fillId="3" borderId="3" xfId="0" applyNumberFormat="1" applyFont="1" applyFill="1" applyBorder="1" applyAlignment="1">
      <alignment horizontal="center" vertical="center" wrapText="1"/>
    </xf>
    <xf numFmtId="2" fontId="3" fillId="3" borderId="4" xfId="0" applyNumberFormat="1" applyFont="1" applyFill="1" applyBorder="1" applyAlignment="1">
      <alignment horizontal="center" vertical="center" wrapText="1"/>
    </xf>
    <xf numFmtId="2" fontId="3" fillId="3" borderId="30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2" fontId="3" fillId="3" borderId="31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3" fillId="3" borderId="30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31" xfId="0" applyFont="1" applyFill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3" fillId="0" borderId="9" xfId="0" applyFont="1" applyBorder="1" applyAlignment="1">
      <alignment horizontal="center" vertical="top"/>
    </xf>
    <xf numFmtId="2" fontId="3" fillId="3" borderId="26" xfId="0" applyNumberFormat="1" applyFont="1" applyFill="1" applyBorder="1" applyAlignment="1">
      <alignment horizontal="center" vertical="center" wrapText="1"/>
    </xf>
    <xf numFmtId="2" fontId="3" fillId="3" borderId="27" xfId="0" applyNumberFormat="1" applyFont="1" applyFill="1" applyBorder="1" applyAlignment="1">
      <alignment horizontal="center" vertical="center" wrapText="1"/>
    </xf>
    <xf numFmtId="2" fontId="3" fillId="3" borderId="28" xfId="0" applyNumberFormat="1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left" vertical="top" wrapText="1" indent="1"/>
    </xf>
    <xf numFmtId="0" fontId="3" fillId="3" borderId="27" xfId="0" applyFont="1" applyFill="1" applyBorder="1" applyAlignment="1">
      <alignment horizontal="left" vertical="top" wrapText="1" indent="1"/>
    </xf>
    <xf numFmtId="0" fontId="3" fillId="3" borderId="28" xfId="0" applyFont="1" applyFill="1" applyBorder="1" applyAlignment="1">
      <alignment horizontal="left" vertical="top" wrapText="1" indent="1"/>
    </xf>
    <xf numFmtId="0" fontId="3" fillId="3" borderId="13" xfId="0" applyFont="1" applyFill="1" applyBorder="1" applyAlignment="1">
      <alignment horizontal="left" vertical="top" wrapText="1" indent="1"/>
    </xf>
    <xf numFmtId="0" fontId="3" fillId="3" borderId="0" xfId="0" applyFont="1" applyFill="1" applyAlignment="1">
      <alignment horizontal="left" vertical="top" wrapText="1" indent="1"/>
    </xf>
    <xf numFmtId="0" fontId="3" fillId="3" borderId="16" xfId="0" applyFont="1" applyFill="1" applyBorder="1" applyAlignment="1">
      <alignment horizontal="left" vertical="top" wrapText="1" indent="1"/>
    </xf>
    <xf numFmtId="2" fontId="3" fillId="0" borderId="26" xfId="0" applyNumberFormat="1" applyFont="1" applyBorder="1" applyAlignment="1">
      <alignment horizontal="center" vertical="center" wrapText="1"/>
    </xf>
    <xf numFmtId="2" fontId="3" fillId="0" borderId="27" xfId="0" applyNumberFormat="1" applyFont="1" applyBorder="1" applyAlignment="1">
      <alignment horizontal="center" vertical="center" wrapText="1"/>
    </xf>
    <xf numFmtId="0" fontId="3" fillId="0" borderId="34" xfId="0" applyFont="1" applyBorder="1" applyAlignment="1">
      <alignment horizontal="left" vertical="top" wrapText="1" indent="1"/>
    </xf>
    <xf numFmtId="0" fontId="3" fillId="0" borderId="24" xfId="0" applyFont="1" applyBorder="1" applyAlignment="1">
      <alignment horizontal="left" vertical="top" wrapText="1" indent="1"/>
    </xf>
    <xf numFmtId="0" fontId="3" fillId="0" borderId="23" xfId="0" applyFont="1" applyBorder="1" applyAlignment="1">
      <alignment horizontal="left" vertical="top" wrapText="1" indent="1"/>
    </xf>
    <xf numFmtId="0" fontId="3" fillId="0" borderId="12" xfId="0" applyFont="1" applyBorder="1" applyAlignment="1">
      <alignment horizontal="left" vertical="top" wrapText="1" indent="1"/>
    </xf>
    <xf numFmtId="0" fontId="3" fillId="0" borderId="10" xfId="0" applyFont="1" applyBorder="1" applyAlignment="1">
      <alignment horizontal="left" vertical="top" wrapText="1" indent="1"/>
    </xf>
    <xf numFmtId="0" fontId="3" fillId="0" borderId="11" xfId="0" applyFont="1" applyBorder="1" applyAlignment="1">
      <alignment horizontal="left" vertical="top" wrapText="1" indent="1"/>
    </xf>
    <xf numFmtId="0" fontId="11" fillId="0" borderId="19" xfId="0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top"/>
    </xf>
    <xf numFmtId="0" fontId="10" fillId="0" borderId="20" xfId="0" applyFont="1" applyBorder="1" applyAlignment="1">
      <alignment horizontal="center" vertical="top"/>
    </xf>
    <xf numFmtId="0" fontId="10" fillId="0" borderId="18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center" indent="1"/>
    </xf>
    <xf numFmtId="0" fontId="12" fillId="0" borderId="7" xfId="0" applyFont="1" applyBorder="1" applyAlignment="1">
      <alignment horizontal="left" vertical="center" indent="1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top" wrapText="1"/>
    </xf>
    <xf numFmtId="0" fontId="13" fillId="0" borderId="41" xfId="0" applyFont="1" applyBorder="1" applyAlignment="1">
      <alignment horizontal="left" vertical="center" indent="1"/>
    </xf>
    <xf numFmtId="0" fontId="13" fillId="0" borderId="42" xfId="0" applyFont="1" applyBorder="1" applyAlignment="1">
      <alignment horizontal="left" vertical="center" inden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12" fillId="0" borderId="43" xfId="0" applyFont="1" applyBorder="1" applyAlignment="1">
      <alignment horizontal="left" vertical="center" wrapText="1" indent="1"/>
    </xf>
    <xf numFmtId="0" fontId="12" fillId="0" borderId="44" xfId="0" applyFont="1" applyBorder="1" applyAlignment="1">
      <alignment horizontal="left" vertical="center" wrapText="1" indent="1"/>
    </xf>
    <xf numFmtId="0" fontId="9" fillId="0" borderId="44" xfId="0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166" fontId="9" fillId="0" borderId="52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 indent="18"/>
    </xf>
    <xf numFmtId="0" fontId="3" fillId="0" borderId="3" xfId="0" applyFont="1" applyBorder="1" applyAlignment="1">
      <alignment horizontal="left" vertical="center" wrapText="1" indent="18"/>
    </xf>
    <xf numFmtId="0" fontId="3" fillId="0" borderId="4" xfId="0" applyFont="1" applyBorder="1" applyAlignment="1">
      <alignment horizontal="left" vertical="center" wrapText="1" indent="18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166" fontId="9" fillId="0" borderId="20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4;&#1090;&#1075;&#1088;&#1091;&#1079;&#1082;&#1072;%20&#1069;&#1052;&#1040;&#1057;%203.1%20&#1074;%202026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грузка ЭМАС 3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7"/>
  <sheetViews>
    <sheetView showGridLines="0" tabSelected="1" topLeftCell="A28" zoomScale="90" zoomScaleNormal="90" workbookViewId="0">
      <selection activeCell="L81" sqref="L81"/>
    </sheetView>
  </sheetViews>
  <sheetFormatPr defaultColWidth="9.140625" defaultRowHeight="15" x14ac:dyDescent="0.25"/>
  <cols>
    <col min="1" max="1" width="2" style="1" customWidth="1"/>
    <col min="2" max="2" width="3.7109375" style="1" customWidth="1"/>
    <col min="3" max="3" width="18.7109375" style="1" customWidth="1"/>
    <col min="4" max="4" width="8.5703125" style="1" customWidth="1"/>
    <col min="5" max="5" width="21.28515625" style="1" customWidth="1"/>
    <col min="6" max="6" width="15.7109375" style="1" customWidth="1"/>
    <col min="7" max="7" width="14.140625" style="2" customWidth="1"/>
    <col min="8" max="8" width="10" style="3" customWidth="1"/>
    <col min="9" max="9" width="12.85546875" style="1" customWidth="1"/>
    <col min="10" max="10" width="11.5703125" style="1" customWidth="1"/>
    <col min="11" max="11" width="23.7109375" style="1" customWidth="1"/>
    <col min="12" max="12" width="24.5703125" style="1" customWidth="1"/>
    <col min="13" max="13" width="11.140625" style="1" customWidth="1"/>
    <col min="14" max="14" width="7.85546875" style="1" customWidth="1"/>
    <col min="15" max="15" width="13.7109375" style="1" customWidth="1"/>
    <col min="16" max="16" width="10" style="1" customWidth="1"/>
    <col min="17" max="17" width="13.85546875" style="1" customWidth="1"/>
    <col min="18" max="18" width="10" style="1" customWidth="1"/>
    <col min="19" max="19" width="19" style="1" customWidth="1"/>
    <col min="20" max="20" width="15.28515625" style="1" customWidth="1"/>
    <col min="21" max="21" width="12.85546875" style="1" customWidth="1"/>
    <col min="22" max="22" width="9.140625" style="1" customWidth="1"/>
    <col min="23" max="23" width="11.42578125" style="4" customWidth="1"/>
    <col min="24" max="24" width="9.140625" style="4" customWidth="1"/>
    <col min="25" max="16384" width="9.140625" style="4"/>
  </cols>
  <sheetData>
    <row r="1" spans="2:22" ht="18.75" customHeight="1" x14ac:dyDescent="0.25">
      <c r="B1" s="5"/>
      <c r="C1" s="5"/>
      <c r="D1" s="5"/>
      <c r="E1" s="5"/>
      <c r="F1" s="5"/>
      <c r="G1" s="5"/>
      <c r="H1" s="6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7"/>
    </row>
    <row r="2" spans="2:22" ht="18.75" customHeight="1" x14ac:dyDescent="0.3">
      <c r="B2" s="5"/>
      <c r="C2" s="5"/>
      <c r="D2" s="5"/>
      <c r="E2" s="5"/>
      <c r="F2" s="5"/>
      <c r="G2" s="5"/>
      <c r="H2" s="6"/>
      <c r="I2" s="5"/>
      <c r="J2" s="5"/>
      <c r="K2" s="5"/>
      <c r="L2" s="5"/>
      <c r="M2" s="5"/>
      <c r="N2" s="5"/>
      <c r="O2" s="5"/>
      <c r="P2" s="126" t="s">
        <v>0</v>
      </c>
      <c r="Q2" s="126"/>
      <c r="R2" s="126"/>
      <c r="S2" s="126"/>
      <c r="T2" s="126"/>
      <c r="U2" s="127"/>
    </row>
    <row r="3" spans="2:22" ht="18.75" customHeight="1" x14ac:dyDescent="0.3">
      <c r="B3" s="5"/>
      <c r="C3" s="5"/>
      <c r="D3" s="5"/>
      <c r="E3" s="5"/>
      <c r="F3" s="5"/>
      <c r="G3" s="5"/>
      <c r="H3" s="6"/>
      <c r="I3" s="5"/>
      <c r="J3" s="5"/>
      <c r="K3" s="5"/>
      <c r="L3" s="5"/>
      <c r="M3" s="5"/>
      <c r="N3" s="5"/>
      <c r="O3" s="5"/>
      <c r="P3" s="126" t="s">
        <v>1</v>
      </c>
      <c r="Q3" s="126"/>
      <c r="R3" s="126"/>
      <c r="S3" s="126"/>
      <c r="T3" s="126"/>
      <c r="U3" s="127"/>
    </row>
    <row r="4" spans="2:22" ht="18.75" customHeight="1" x14ac:dyDescent="0.3">
      <c r="B4" s="5"/>
      <c r="C4" s="5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128" t="s">
        <v>2</v>
      </c>
      <c r="Q4" s="128"/>
      <c r="R4" s="128"/>
      <c r="S4" s="128"/>
      <c r="T4" s="128"/>
      <c r="U4" s="127"/>
    </row>
    <row r="5" spans="2:22" ht="18.75" customHeight="1" x14ac:dyDescent="0.3">
      <c r="B5" s="5"/>
      <c r="C5" s="5"/>
      <c r="D5" s="5"/>
      <c r="E5" s="5"/>
      <c r="F5" s="5"/>
      <c r="G5" s="5"/>
      <c r="H5" s="6"/>
      <c r="I5" s="5"/>
      <c r="J5" s="5"/>
      <c r="K5" s="5"/>
      <c r="L5" s="5"/>
      <c r="M5" s="5"/>
      <c r="N5" s="5"/>
      <c r="O5" s="5"/>
      <c r="P5" s="8"/>
      <c r="Q5" s="8"/>
      <c r="R5" s="8"/>
      <c r="S5" s="8"/>
      <c r="T5" s="8"/>
      <c r="U5" s="9"/>
    </row>
    <row r="6" spans="2:22" ht="18.75" customHeight="1" x14ac:dyDescent="0.3">
      <c r="B6" s="5"/>
      <c r="C6" s="5"/>
      <c r="D6" s="5"/>
      <c r="E6" s="5"/>
      <c r="F6" s="5"/>
      <c r="G6" s="5"/>
      <c r="H6" s="6"/>
      <c r="I6" s="5"/>
      <c r="J6" s="5"/>
      <c r="K6" s="10"/>
      <c r="L6" s="5"/>
      <c r="M6" s="5"/>
      <c r="N6" s="5"/>
      <c r="O6" s="5"/>
      <c r="P6" s="126" t="s">
        <v>3</v>
      </c>
      <c r="Q6" s="126"/>
      <c r="R6" s="126"/>
      <c r="S6" s="126"/>
      <c r="T6" s="126"/>
      <c r="U6" s="127"/>
    </row>
    <row r="7" spans="2:22" ht="18.75" customHeight="1" x14ac:dyDescent="0.3">
      <c r="B7" s="129" t="s">
        <v>4</v>
      </c>
      <c r="C7" s="129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1"/>
    </row>
    <row r="8" spans="2:22" ht="18.75" customHeight="1" x14ac:dyDescent="0.3">
      <c r="B8" s="126" t="s">
        <v>5</v>
      </c>
      <c r="C8" s="126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27"/>
    </row>
    <row r="9" spans="2:22" ht="18.75" customHeight="1" x14ac:dyDescent="0.3">
      <c r="B9" s="133" t="s">
        <v>6</v>
      </c>
      <c r="C9" s="133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1"/>
    </row>
    <row r="10" spans="2:22" ht="18.75" customHeight="1" x14ac:dyDescent="0.3">
      <c r="B10" s="8"/>
      <c r="C10" s="8"/>
      <c r="D10" s="11"/>
      <c r="E10" s="11"/>
      <c r="F10" s="11"/>
      <c r="G10" s="11"/>
      <c r="H10" s="12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9"/>
    </row>
    <row r="11" spans="2:22" ht="18.75" customHeight="1" x14ac:dyDescent="0.3">
      <c r="B11" s="134" t="s">
        <v>7</v>
      </c>
      <c r="C11" s="134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9"/>
      <c r="V11" s="13"/>
    </row>
    <row r="12" spans="2:22" ht="18.75" customHeight="1" x14ac:dyDescent="0.3">
      <c r="B12" s="134" t="s">
        <v>8</v>
      </c>
      <c r="C12" s="134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9"/>
    </row>
    <row r="13" spans="2:22" ht="18.75" customHeight="1" x14ac:dyDescent="0.3">
      <c r="B13" s="136" t="s">
        <v>9</v>
      </c>
      <c r="C13" s="136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9"/>
    </row>
    <row r="14" spans="2:22" ht="18.75" customHeight="1" x14ac:dyDescent="0.3">
      <c r="B14" s="136" t="s">
        <v>10</v>
      </c>
      <c r="C14" s="136"/>
      <c r="D14" s="136"/>
      <c r="E14" s="136"/>
      <c r="F14" s="16">
        <v>46001.875</v>
      </c>
      <c r="G14" s="17" t="s">
        <v>11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9"/>
    </row>
    <row r="15" spans="2:22" ht="18.75" customHeight="1" x14ac:dyDescent="0.3">
      <c r="B15" s="136" t="s">
        <v>12</v>
      </c>
      <c r="C15" s="136"/>
      <c r="D15" s="136"/>
      <c r="E15" s="136"/>
      <c r="F15" s="136"/>
      <c r="G15" s="16">
        <v>46002.875</v>
      </c>
      <c r="H15" s="17" t="s">
        <v>11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9"/>
    </row>
    <row r="16" spans="2:22" ht="18.75" customHeight="1" x14ac:dyDescent="0.3">
      <c r="B16" s="136" t="s">
        <v>13</v>
      </c>
      <c r="C16" s="136"/>
      <c r="D16" s="136"/>
      <c r="E16" s="136"/>
      <c r="F16" s="16">
        <v>46008.875</v>
      </c>
      <c r="G16" s="17" t="s">
        <v>11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9"/>
    </row>
    <row r="17" spans="2:21" ht="18.75" customHeight="1" x14ac:dyDescent="0.3">
      <c r="B17" s="136" t="s">
        <v>14</v>
      </c>
      <c r="C17" s="136"/>
      <c r="D17" s="136"/>
      <c r="E17" s="136"/>
      <c r="F17" s="136"/>
      <c r="G17" s="16">
        <v>46033.875</v>
      </c>
      <c r="H17" s="17" t="s">
        <v>11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9"/>
    </row>
    <row r="18" spans="2:21" ht="18.75" customHeight="1" x14ac:dyDescent="0.3">
      <c r="B18" s="14"/>
      <c r="C18" s="14"/>
      <c r="D18" s="15"/>
      <c r="E18" s="15"/>
      <c r="F18" s="15"/>
      <c r="G18" s="11"/>
      <c r="H18" s="12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9"/>
    </row>
    <row r="19" spans="2:21" ht="18.75" customHeight="1" x14ac:dyDescent="0.3">
      <c r="B19" s="14" t="s">
        <v>15</v>
      </c>
      <c r="C19" s="14"/>
      <c r="D19" s="138" t="s">
        <v>16</v>
      </c>
      <c r="E19" s="138"/>
      <c r="F19" s="19">
        <v>110633.45</v>
      </c>
      <c r="G19" s="20" t="s">
        <v>17</v>
      </c>
      <c r="H19" s="12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9"/>
    </row>
    <row r="20" spans="2:21" ht="18.75" customHeight="1" x14ac:dyDescent="0.3">
      <c r="B20" s="8"/>
      <c r="C20" s="8"/>
      <c r="D20" s="15"/>
      <c r="E20" s="15"/>
      <c r="F20" s="11"/>
      <c r="G20" s="11"/>
      <c r="H20" s="12"/>
      <c r="I20" s="11"/>
      <c r="J20" s="11"/>
      <c r="K20" s="11"/>
      <c r="L20" s="11"/>
      <c r="M20" s="15"/>
      <c r="N20" s="11"/>
      <c r="O20" s="11"/>
      <c r="P20" s="11"/>
      <c r="Q20" s="11"/>
      <c r="R20" s="11"/>
      <c r="S20" s="11"/>
      <c r="T20" s="11"/>
      <c r="U20" s="9"/>
    </row>
    <row r="21" spans="2:21" ht="18.75" customHeight="1" x14ac:dyDescent="0.25">
      <c r="B21" s="126" t="s">
        <v>18</v>
      </c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8"/>
    </row>
    <row r="22" spans="2:21" ht="18.75" customHeight="1" x14ac:dyDescent="0.25">
      <c r="B22" s="8"/>
      <c r="C22" s="8"/>
      <c r="D22" s="21"/>
      <c r="E22" s="21"/>
      <c r="F22" s="8"/>
      <c r="G22" s="8"/>
      <c r="H22" s="22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2:21" ht="18.75" customHeight="1" x14ac:dyDescent="0.25">
      <c r="B23" s="139" t="s">
        <v>19</v>
      </c>
      <c r="C23" s="139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</row>
    <row r="24" spans="2:21" ht="16.5" customHeight="1" x14ac:dyDescent="0.25">
      <c r="B24" s="5"/>
      <c r="C24" s="5"/>
      <c r="D24" s="5"/>
      <c r="E24" s="5"/>
      <c r="F24" s="5"/>
      <c r="G24" s="5"/>
      <c r="H24" s="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2:21" ht="30.75" customHeight="1" x14ac:dyDescent="0.25">
      <c r="B25" s="154" t="s">
        <v>20</v>
      </c>
      <c r="C25" s="140" t="s">
        <v>21</v>
      </c>
      <c r="D25" s="141"/>
      <c r="E25" s="144" t="s">
        <v>22</v>
      </c>
      <c r="F25" s="145"/>
      <c r="G25" s="147" t="s">
        <v>23</v>
      </c>
      <c r="H25" s="148"/>
      <c r="I25" s="149"/>
      <c r="J25" s="150" t="s">
        <v>24</v>
      </c>
      <c r="K25" s="154" t="s">
        <v>25</v>
      </c>
      <c r="L25" s="144" t="s">
        <v>26</v>
      </c>
      <c r="M25" s="140"/>
      <c r="N25" s="140"/>
      <c r="O25" s="150"/>
      <c r="P25" s="140" t="s">
        <v>27</v>
      </c>
      <c r="Q25" s="140"/>
      <c r="R25" s="140"/>
      <c r="S25" s="150"/>
      <c r="T25" s="140" t="s">
        <v>28</v>
      </c>
      <c r="U25" s="141"/>
    </row>
    <row r="26" spans="2:21" ht="16.5" customHeight="1" x14ac:dyDescent="0.25">
      <c r="B26" s="155"/>
      <c r="C26" s="142"/>
      <c r="D26" s="143"/>
      <c r="E26" s="146"/>
      <c r="F26" s="142"/>
      <c r="G26" s="24" t="s">
        <v>29</v>
      </c>
      <c r="H26" s="25" t="s">
        <v>30</v>
      </c>
      <c r="I26" s="26" t="s">
        <v>31</v>
      </c>
      <c r="J26" s="156"/>
      <c r="K26" s="157"/>
      <c r="L26" s="151"/>
      <c r="M26" s="152"/>
      <c r="N26" s="152"/>
      <c r="O26" s="153"/>
      <c r="P26" s="152"/>
      <c r="Q26" s="152"/>
      <c r="R26" s="152"/>
      <c r="S26" s="153"/>
      <c r="T26" s="142"/>
      <c r="U26" s="143"/>
    </row>
    <row r="27" spans="2:21" ht="52.5" customHeight="1" x14ac:dyDescent="0.25">
      <c r="B27" s="27">
        <v>1</v>
      </c>
      <c r="C27" s="158" t="s">
        <v>32</v>
      </c>
      <c r="D27" s="159"/>
      <c r="E27" s="160" t="s">
        <v>33</v>
      </c>
      <c r="F27" s="161"/>
      <c r="G27" s="161"/>
      <c r="H27" s="161"/>
      <c r="I27" s="161"/>
      <c r="J27" s="161"/>
      <c r="K27" s="162"/>
      <c r="L27" s="163"/>
      <c r="M27" s="164"/>
      <c r="N27" s="164"/>
      <c r="O27" s="165"/>
      <c r="P27" s="166"/>
      <c r="Q27" s="166"/>
      <c r="R27" s="166"/>
      <c r="S27" s="167"/>
      <c r="T27" s="168" t="s">
        <v>34</v>
      </c>
      <c r="U27" s="169"/>
    </row>
    <row r="28" spans="2:21" ht="16.5" customHeight="1" x14ac:dyDescent="0.25">
      <c r="B28" s="187">
        <v>2</v>
      </c>
      <c r="C28" s="170" t="s">
        <v>35</v>
      </c>
      <c r="D28" s="171"/>
      <c r="E28" s="176" t="s">
        <v>36</v>
      </c>
      <c r="F28" s="177"/>
      <c r="G28" s="29">
        <v>10</v>
      </c>
      <c r="H28" s="30">
        <v>20</v>
      </c>
      <c r="I28" s="31">
        <f>H28-G28</f>
        <v>10</v>
      </c>
      <c r="J28" s="32">
        <v>1.4259999999999999</v>
      </c>
      <c r="K28" s="33">
        <f>J28*I28</f>
        <v>14.26</v>
      </c>
      <c r="L28" s="178"/>
      <c r="M28" s="179"/>
      <c r="N28" s="179"/>
      <c r="O28" s="180"/>
      <c r="P28" s="34" t="s">
        <v>37</v>
      </c>
      <c r="Q28" s="35"/>
      <c r="R28" s="35"/>
      <c r="S28" s="36"/>
      <c r="T28" s="181" t="s">
        <v>38</v>
      </c>
      <c r="U28" s="182"/>
    </row>
    <row r="29" spans="2:21" ht="15.75" customHeight="1" x14ac:dyDescent="0.25">
      <c r="B29" s="188"/>
      <c r="C29" s="172"/>
      <c r="D29" s="173"/>
      <c r="E29" s="38" t="s">
        <v>39</v>
      </c>
      <c r="F29" s="39"/>
      <c r="G29" s="29">
        <v>10</v>
      </c>
      <c r="H29" s="30">
        <v>0</v>
      </c>
      <c r="I29" s="31">
        <f>H29-G29</f>
        <v>-10</v>
      </c>
      <c r="J29" s="32">
        <v>1.7949999999999999</v>
      </c>
      <c r="K29" s="33">
        <f>J29*I29</f>
        <v>-17.95</v>
      </c>
      <c r="L29" s="190"/>
      <c r="M29" s="191"/>
      <c r="N29" s="191"/>
      <c r="O29" s="192"/>
      <c r="P29" s="34" t="s">
        <v>40</v>
      </c>
      <c r="Q29" s="35"/>
      <c r="R29" s="35"/>
      <c r="S29" s="36"/>
      <c r="T29" s="183"/>
      <c r="U29" s="184"/>
    </row>
    <row r="30" spans="2:21" ht="16.5" hidden="1" customHeight="1" x14ac:dyDescent="0.25">
      <c r="B30" s="188"/>
      <c r="C30" s="172"/>
      <c r="D30" s="173"/>
      <c r="E30" s="38"/>
      <c r="F30" s="42"/>
      <c r="G30" s="43"/>
      <c r="H30" s="43"/>
      <c r="I30" s="31"/>
      <c r="J30" s="32"/>
      <c r="K30" s="33"/>
      <c r="L30" s="193"/>
      <c r="M30" s="194"/>
      <c r="N30" s="194"/>
      <c r="O30" s="194"/>
      <c r="P30" s="34"/>
      <c r="Q30" s="35"/>
      <c r="R30" s="35"/>
      <c r="S30" s="36"/>
      <c r="T30" s="183"/>
      <c r="U30" s="184"/>
    </row>
    <row r="31" spans="2:21" ht="15.75" hidden="1" customHeight="1" x14ac:dyDescent="0.25">
      <c r="B31" s="188"/>
      <c r="C31" s="172"/>
      <c r="D31" s="173"/>
      <c r="E31" s="44"/>
      <c r="F31" s="45"/>
      <c r="G31" s="46"/>
      <c r="H31" s="46"/>
      <c r="I31" s="47"/>
      <c r="J31" s="48"/>
      <c r="K31" s="49"/>
      <c r="L31" s="195"/>
      <c r="M31" s="196"/>
      <c r="N31" s="196"/>
      <c r="O31" s="197"/>
      <c r="P31" s="193"/>
      <c r="Q31" s="194"/>
      <c r="R31" s="194"/>
      <c r="S31" s="198"/>
      <c r="T31" s="183"/>
      <c r="U31" s="184"/>
    </row>
    <row r="32" spans="2:21" ht="15.75" hidden="1" customHeight="1" x14ac:dyDescent="0.25">
      <c r="B32" s="188"/>
      <c r="C32" s="172"/>
      <c r="D32" s="173"/>
      <c r="E32" s="44"/>
      <c r="F32" s="50"/>
      <c r="G32" s="46"/>
      <c r="H32" s="46"/>
      <c r="I32" s="47"/>
      <c r="J32" s="51"/>
      <c r="K32" s="49"/>
      <c r="L32" s="193"/>
      <c r="M32" s="194"/>
      <c r="N32" s="194"/>
      <c r="O32" s="194"/>
      <c r="P32" s="199"/>
      <c r="Q32" s="200"/>
      <c r="R32" s="200"/>
      <c r="S32" s="200"/>
      <c r="T32" s="183"/>
      <c r="U32" s="184"/>
    </row>
    <row r="33" spans="2:21" ht="18.75" hidden="1" customHeight="1" x14ac:dyDescent="0.25">
      <c r="B33" s="188"/>
      <c r="C33" s="172"/>
      <c r="D33" s="173"/>
      <c r="E33" s="44"/>
      <c r="F33" s="45"/>
      <c r="G33" s="46"/>
      <c r="H33" s="46"/>
      <c r="I33" s="47"/>
      <c r="J33" s="48"/>
      <c r="K33" s="49"/>
      <c r="L33" s="190"/>
      <c r="M33" s="191"/>
      <c r="N33" s="191"/>
      <c r="O33" s="192"/>
      <c r="P33" s="52"/>
      <c r="Q33" s="53"/>
      <c r="R33" s="53"/>
      <c r="S33" s="54"/>
      <c r="T33" s="183"/>
      <c r="U33" s="184"/>
    </row>
    <row r="34" spans="2:21" ht="16.5" hidden="1" customHeight="1" x14ac:dyDescent="0.25">
      <c r="B34" s="188"/>
      <c r="C34" s="172"/>
      <c r="D34" s="173"/>
      <c r="E34" s="55"/>
      <c r="F34" s="45"/>
      <c r="G34" s="56"/>
      <c r="H34" s="57"/>
      <c r="I34" s="47"/>
      <c r="J34" s="49"/>
      <c r="K34" s="49"/>
      <c r="L34" s="190"/>
      <c r="M34" s="191"/>
      <c r="N34" s="191"/>
      <c r="O34" s="192"/>
      <c r="P34" s="40"/>
      <c r="Q34" s="53"/>
      <c r="R34" s="53"/>
      <c r="S34" s="54"/>
      <c r="T34" s="183"/>
      <c r="U34" s="184"/>
    </row>
    <row r="35" spans="2:21" ht="15.75" hidden="1" customHeight="1" x14ac:dyDescent="0.25">
      <c r="B35" s="188"/>
      <c r="C35" s="172"/>
      <c r="D35" s="173"/>
      <c r="E35" s="55"/>
      <c r="F35" s="45"/>
      <c r="G35" s="58"/>
      <c r="H35" s="59"/>
      <c r="I35" s="47"/>
      <c r="J35" s="60"/>
      <c r="K35" s="60"/>
      <c r="L35" s="199"/>
      <c r="M35" s="200"/>
      <c r="N35" s="200"/>
      <c r="O35" s="200"/>
      <c r="P35" s="61"/>
      <c r="Q35" s="53"/>
      <c r="R35" s="53"/>
      <c r="S35" s="54"/>
      <c r="T35" s="183"/>
      <c r="U35" s="184"/>
    </row>
    <row r="36" spans="2:21" ht="15.75" hidden="1" customHeight="1" x14ac:dyDescent="0.25">
      <c r="B36" s="188"/>
      <c r="C36" s="172"/>
      <c r="D36" s="173"/>
      <c r="E36" s="55"/>
      <c r="F36" s="45"/>
      <c r="G36" s="62"/>
      <c r="H36" s="63"/>
      <c r="I36" s="47"/>
      <c r="J36" s="60"/>
      <c r="K36" s="60"/>
      <c r="L36" s="199"/>
      <c r="M36" s="200"/>
      <c r="N36" s="200"/>
      <c r="O36" s="200"/>
      <c r="P36" s="61"/>
      <c r="Q36" s="53"/>
      <c r="R36" s="53"/>
      <c r="S36" s="54"/>
      <c r="T36" s="183"/>
      <c r="U36" s="184"/>
    </row>
    <row r="37" spans="2:21" ht="15.75" hidden="1" customHeight="1" x14ac:dyDescent="0.25">
      <c r="B37" s="188"/>
      <c r="C37" s="172"/>
      <c r="D37" s="173"/>
      <c r="E37" s="55"/>
      <c r="F37" s="45"/>
      <c r="G37" s="64"/>
      <c r="H37" s="65"/>
      <c r="I37" s="66"/>
      <c r="J37" s="49"/>
      <c r="K37" s="49"/>
      <c r="L37" s="67"/>
      <c r="M37" s="68"/>
      <c r="N37" s="68"/>
      <c r="O37" s="69"/>
      <c r="P37" s="53"/>
      <c r="Q37" s="53"/>
      <c r="R37" s="53"/>
      <c r="S37" s="54"/>
      <c r="T37" s="183"/>
      <c r="U37" s="184"/>
    </row>
    <row r="38" spans="2:21" ht="15.75" hidden="1" customHeight="1" x14ac:dyDescent="0.25">
      <c r="B38" s="188"/>
      <c r="C38" s="172"/>
      <c r="D38" s="173"/>
      <c r="E38" s="55"/>
      <c r="F38" s="45"/>
      <c r="G38" s="64"/>
      <c r="H38" s="65"/>
      <c r="I38" s="66"/>
      <c r="J38" s="49"/>
      <c r="K38" s="49"/>
      <c r="L38" s="67"/>
      <c r="M38" s="68"/>
      <c r="N38" s="68"/>
      <c r="O38" s="69"/>
      <c r="P38" s="53"/>
      <c r="Q38" s="53"/>
      <c r="R38" s="53"/>
      <c r="S38" s="54"/>
      <c r="T38" s="183"/>
      <c r="U38" s="184"/>
    </row>
    <row r="39" spans="2:21" ht="16.5" hidden="1" customHeight="1" x14ac:dyDescent="0.25">
      <c r="B39" s="188"/>
      <c r="C39" s="172"/>
      <c r="D39" s="173"/>
      <c r="E39" s="55"/>
      <c r="F39" s="45"/>
      <c r="G39" s="64"/>
      <c r="H39" s="65"/>
      <c r="I39" s="66"/>
      <c r="J39" s="70"/>
      <c r="K39" s="49"/>
      <c r="L39" s="34"/>
      <c r="M39" s="40"/>
      <c r="N39" s="40"/>
      <c r="O39" s="41"/>
      <c r="P39" s="201"/>
      <c r="Q39" s="202"/>
      <c r="R39" s="202"/>
      <c r="S39" s="203"/>
      <c r="T39" s="183"/>
      <c r="U39" s="184"/>
    </row>
    <row r="40" spans="2:21" ht="16.5" customHeight="1" x14ac:dyDescent="0.25">
      <c r="B40" s="189"/>
      <c r="C40" s="174"/>
      <c r="D40" s="175"/>
      <c r="E40" s="204" t="s">
        <v>41</v>
      </c>
      <c r="F40" s="204"/>
      <c r="G40" s="205"/>
      <c r="H40" s="206"/>
      <c r="I40" s="206"/>
      <c r="J40" s="207"/>
      <c r="K40" s="71">
        <f>SUM(K28:K39)</f>
        <v>-3.6899999999999995</v>
      </c>
      <c r="L40" s="160"/>
      <c r="M40" s="161"/>
      <c r="N40" s="161"/>
      <c r="O40" s="162"/>
      <c r="P40" s="208"/>
      <c r="Q40" s="209"/>
      <c r="R40" s="209"/>
      <c r="S40" s="210"/>
      <c r="T40" s="185"/>
      <c r="U40" s="186"/>
    </row>
    <row r="41" spans="2:21" ht="55.5" customHeight="1" x14ac:dyDescent="0.25">
      <c r="B41" s="37">
        <v>3</v>
      </c>
      <c r="C41" s="174" t="s">
        <v>42</v>
      </c>
      <c r="D41" s="211"/>
      <c r="E41" s="160" t="s">
        <v>43</v>
      </c>
      <c r="F41" s="161"/>
      <c r="G41" s="161"/>
      <c r="H41" s="161"/>
      <c r="I41" s="161"/>
      <c r="J41" s="161"/>
      <c r="K41" s="162"/>
      <c r="L41" s="212"/>
      <c r="M41" s="213"/>
      <c r="N41" s="213"/>
      <c r="O41" s="214"/>
      <c r="P41" s="215" t="s">
        <v>44</v>
      </c>
      <c r="Q41" s="216"/>
      <c r="R41" s="216"/>
      <c r="S41" s="217"/>
      <c r="T41" s="168" t="s">
        <v>34</v>
      </c>
      <c r="U41" s="169"/>
    </row>
    <row r="42" spans="2:21" ht="24.75" customHeight="1" x14ac:dyDescent="0.25">
      <c r="B42" s="188">
        <v>4</v>
      </c>
      <c r="C42" s="170" t="s">
        <v>45</v>
      </c>
      <c r="D42" s="218"/>
      <c r="E42" s="220" t="s">
        <v>33</v>
      </c>
      <c r="F42" s="221"/>
      <c r="G42" s="221"/>
      <c r="H42" s="221"/>
      <c r="I42" s="221"/>
      <c r="J42" s="221"/>
      <c r="K42" s="222"/>
      <c r="L42" s="226"/>
      <c r="M42" s="227"/>
      <c r="N42" s="227"/>
      <c r="O42" s="228"/>
      <c r="P42" s="232"/>
      <c r="Q42" s="233"/>
      <c r="R42" s="233"/>
      <c r="S42" s="234"/>
      <c r="T42" s="238" t="s">
        <v>34</v>
      </c>
      <c r="U42" s="182"/>
    </row>
    <row r="43" spans="2:21" ht="24.75" hidden="1" customHeight="1" x14ac:dyDescent="0.25">
      <c r="B43" s="188"/>
      <c r="C43" s="172"/>
      <c r="D43" s="219"/>
      <c r="E43" s="223"/>
      <c r="F43" s="224"/>
      <c r="G43" s="224"/>
      <c r="H43" s="224"/>
      <c r="I43" s="224"/>
      <c r="J43" s="224"/>
      <c r="K43" s="225"/>
      <c r="L43" s="229"/>
      <c r="M43" s="230"/>
      <c r="N43" s="230"/>
      <c r="O43" s="231"/>
      <c r="P43" s="235"/>
      <c r="Q43" s="236"/>
      <c r="R43" s="236"/>
      <c r="S43" s="237"/>
      <c r="T43" s="239"/>
      <c r="U43" s="184"/>
    </row>
    <row r="44" spans="2:21" ht="24.75" hidden="1" customHeight="1" x14ac:dyDescent="0.25">
      <c r="B44" s="188"/>
      <c r="C44" s="172"/>
      <c r="D44" s="219"/>
      <c r="E44" s="55"/>
      <c r="F44" s="45"/>
      <c r="G44" s="62"/>
      <c r="H44" s="47"/>
      <c r="I44" s="72"/>
      <c r="J44" s="60"/>
      <c r="K44" s="60"/>
      <c r="L44" s="241"/>
      <c r="M44" s="242"/>
      <c r="N44" s="242"/>
      <c r="O44" s="243"/>
      <c r="P44" s="244"/>
      <c r="Q44" s="245"/>
      <c r="R44" s="245"/>
      <c r="S44" s="246"/>
      <c r="T44" s="239"/>
      <c r="U44" s="184"/>
    </row>
    <row r="45" spans="2:21" ht="24.75" hidden="1" customHeight="1" x14ac:dyDescent="0.25">
      <c r="B45" s="188"/>
      <c r="C45" s="172"/>
      <c r="D45" s="219"/>
      <c r="E45" s="55"/>
      <c r="F45" s="45"/>
      <c r="G45" s="62"/>
      <c r="H45" s="73"/>
      <c r="I45" s="72"/>
      <c r="J45" s="60"/>
      <c r="K45" s="60"/>
      <c r="L45" s="241"/>
      <c r="M45" s="242"/>
      <c r="N45" s="242"/>
      <c r="O45" s="242"/>
      <c r="P45" s="247"/>
      <c r="Q45" s="248"/>
      <c r="R45" s="248"/>
      <c r="S45" s="249"/>
      <c r="T45" s="239"/>
      <c r="U45" s="184"/>
    </row>
    <row r="46" spans="2:21" ht="24.75" hidden="1" customHeight="1" x14ac:dyDescent="0.25">
      <c r="B46" s="188"/>
      <c r="C46" s="172"/>
      <c r="D46" s="219"/>
      <c r="E46" s="55"/>
      <c r="F46" s="45"/>
      <c r="G46" s="62"/>
      <c r="H46" s="73"/>
      <c r="I46" s="72"/>
      <c r="J46" s="60"/>
      <c r="K46" s="60"/>
      <c r="L46" s="241"/>
      <c r="M46" s="242"/>
      <c r="N46" s="242"/>
      <c r="O46" s="242"/>
      <c r="P46" s="244"/>
      <c r="Q46" s="245"/>
      <c r="R46" s="245"/>
      <c r="S46" s="246"/>
      <c r="T46" s="239"/>
      <c r="U46" s="184"/>
    </row>
    <row r="47" spans="2:21" ht="24.75" hidden="1" customHeight="1" x14ac:dyDescent="0.25">
      <c r="B47" s="188"/>
      <c r="C47" s="172"/>
      <c r="D47" s="219"/>
      <c r="E47" s="55"/>
      <c r="F47" s="45"/>
      <c r="G47" s="64"/>
      <c r="H47" s="74"/>
      <c r="I47" s="72"/>
      <c r="J47" s="60"/>
      <c r="K47" s="60"/>
      <c r="L47" s="250"/>
      <c r="M47" s="251"/>
      <c r="N47" s="251"/>
      <c r="O47" s="251"/>
      <c r="P47" s="252"/>
      <c r="Q47" s="253"/>
      <c r="R47" s="253"/>
      <c r="S47" s="254"/>
      <c r="T47" s="239"/>
      <c r="U47" s="184"/>
    </row>
    <row r="48" spans="2:21" ht="24.75" hidden="1" customHeight="1" x14ac:dyDescent="0.25">
      <c r="B48" s="188"/>
      <c r="C48" s="172"/>
      <c r="D48" s="219"/>
      <c r="E48" s="55"/>
      <c r="F48" s="45"/>
      <c r="G48" s="64"/>
      <c r="H48" s="74"/>
      <c r="I48" s="72"/>
      <c r="J48" s="60"/>
      <c r="K48" s="60"/>
      <c r="L48" s="250"/>
      <c r="M48" s="251"/>
      <c r="N48" s="251"/>
      <c r="O48" s="251"/>
      <c r="P48" s="252"/>
      <c r="Q48" s="253"/>
      <c r="R48" s="253"/>
      <c r="S48" s="254"/>
      <c r="T48" s="239"/>
      <c r="U48" s="184"/>
    </row>
    <row r="49" spans="2:21" ht="24.75" hidden="1" customHeight="1" x14ac:dyDescent="0.25">
      <c r="B49" s="188"/>
      <c r="C49" s="172"/>
      <c r="D49" s="219"/>
      <c r="E49" s="55"/>
      <c r="F49" s="45"/>
      <c r="G49" s="64"/>
      <c r="H49" s="74"/>
      <c r="I49" s="72"/>
      <c r="J49" s="60"/>
      <c r="K49" s="60"/>
      <c r="L49" s="250"/>
      <c r="M49" s="251"/>
      <c r="N49" s="251"/>
      <c r="O49" s="251"/>
      <c r="P49" s="252"/>
      <c r="Q49" s="253"/>
      <c r="R49" s="253"/>
      <c r="S49" s="254"/>
      <c r="T49" s="239"/>
      <c r="U49" s="184"/>
    </row>
    <row r="50" spans="2:21" ht="24.75" hidden="1" customHeight="1" x14ac:dyDescent="0.25">
      <c r="B50" s="188"/>
      <c r="C50" s="172"/>
      <c r="D50" s="219"/>
      <c r="E50" s="55"/>
      <c r="F50" s="45"/>
      <c r="G50" s="64"/>
      <c r="H50" s="74"/>
      <c r="I50" s="72"/>
      <c r="J50" s="60"/>
      <c r="K50" s="60"/>
      <c r="L50" s="250"/>
      <c r="M50" s="251"/>
      <c r="N50" s="251"/>
      <c r="O50" s="251"/>
      <c r="P50" s="252"/>
      <c r="Q50" s="253"/>
      <c r="R50" s="253"/>
      <c r="S50" s="254"/>
      <c r="T50" s="239"/>
      <c r="U50" s="184"/>
    </row>
    <row r="51" spans="2:21" ht="24.75" hidden="1" customHeight="1" x14ac:dyDescent="0.25">
      <c r="B51" s="188"/>
      <c r="C51" s="172"/>
      <c r="D51" s="219"/>
      <c r="E51" s="55"/>
      <c r="F51" s="45"/>
      <c r="G51" s="64"/>
      <c r="H51" s="74"/>
      <c r="I51" s="72"/>
      <c r="J51" s="60"/>
      <c r="K51" s="60"/>
      <c r="L51" s="250"/>
      <c r="M51" s="251"/>
      <c r="N51" s="251"/>
      <c r="O51" s="251"/>
      <c r="P51" s="252"/>
      <c r="Q51" s="253"/>
      <c r="R51" s="253"/>
      <c r="S51" s="254"/>
      <c r="T51" s="239"/>
      <c r="U51" s="184"/>
    </row>
    <row r="52" spans="2:21" ht="24.75" hidden="1" customHeight="1" x14ac:dyDescent="0.25">
      <c r="B52" s="188"/>
      <c r="C52" s="172"/>
      <c r="D52" s="219"/>
      <c r="E52" s="55"/>
      <c r="F52" s="45"/>
      <c r="G52" s="64"/>
      <c r="H52" s="74"/>
      <c r="I52" s="72"/>
      <c r="J52" s="60"/>
      <c r="K52" s="60"/>
      <c r="L52" s="250"/>
      <c r="M52" s="251"/>
      <c r="N52" s="251"/>
      <c r="O52" s="251"/>
      <c r="P52" s="252"/>
      <c r="Q52" s="253"/>
      <c r="R52" s="253"/>
      <c r="S52" s="254"/>
      <c r="T52" s="239"/>
      <c r="U52" s="184"/>
    </row>
    <row r="53" spans="2:21" ht="24.75" hidden="1" customHeight="1" x14ac:dyDescent="0.25">
      <c r="B53" s="188"/>
      <c r="C53" s="172"/>
      <c r="D53" s="219"/>
      <c r="E53" s="55"/>
      <c r="F53" s="45"/>
      <c r="G53" s="64"/>
      <c r="H53" s="74"/>
      <c r="I53" s="72"/>
      <c r="J53" s="60"/>
      <c r="K53" s="60"/>
      <c r="L53" s="250"/>
      <c r="M53" s="251"/>
      <c r="N53" s="251"/>
      <c r="O53" s="251"/>
      <c r="P53" s="252"/>
      <c r="Q53" s="253"/>
      <c r="R53" s="253"/>
      <c r="S53" s="254"/>
      <c r="T53" s="239"/>
      <c r="U53" s="184"/>
    </row>
    <row r="54" spans="2:21" ht="24.75" hidden="1" customHeight="1" x14ac:dyDescent="0.25">
      <c r="B54" s="188"/>
      <c r="C54" s="172"/>
      <c r="D54" s="219"/>
      <c r="E54" s="55"/>
      <c r="F54" s="45"/>
      <c r="G54" s="64"/>
      <c r="H54" s="74"/>
      <c r="I54" s="72"/>
      <c r="J54" s="60"/>
      <c r="K54" s="60"/>
      <c r="L54" s="250"/>
      <c r="M54" s="251"/>
      <c r="N54" s="251"/>
      <c r="O54" s="251"/>
      <c r="P54" s="252"/>
      <c r="Q54" s="253"/>
      <c r="R54" s="253"/>
      <c r="S54" s="254"/>
      <c r="T54" s="239"/>
      <c r="U54" s="184"/>
    </row>
    <row r="55" spans="2:21" ht="24.75" hidden="1" customHeight="1" x14ac:dyDescent="0.25">
      <c r="B55" s="188"/>
      <c r="C55" s="172"/>
      <c r="D55" s="219"/>
      <c r="E55" s="55"/>
      <c r="F55" s="45"/>
      <c r="G55" s="64"/>
      <c r="H55" s="74"/>
      <c r="I55" s="72"/>
      <c r="J55" s="60"/>
      <c r="K55" s="60"/>
      <c r="L55" s="250"/>
      <c r="M55" s="251"/>
      <c r="N55" s="251"/>
      <c r="O55" s="251"/>
      <c r="P55" s="252"/>
      <c r="Q55" s="253"/>
      <c r="R55" s="253"/>
      <c r="S55" s="254"/>
      <c r="T55" s="239"/>
      <c r="U55" s="184"/>
    </row>
    <row r="56" spans="2:21" ht="24.75" hidden="1" customHeight="1" x14ac:dyDescent="0.25">
      <c r="B56" s="188"/>
      <c r="C56" s="172"/>
      <c r="D56" s="219"/>
      <c r="E56" s="55"/>
      <c r="F56" s="45"/>
      <c r="G56" s="64"/>
      <c r="H56" s="74"/>
      <c r="I56" s="72"/>
      <c r="J56" s="60"/>
      <c r="K56" s="60"/>
      <c r="L56" s="250"/>
      <c r="M56" s="251"/>
      <c r="N56" s="251"/>
      <c r="O56" s="251"/>
      <c r="P56" s="252"/>
      <c r="Q56" s="253"/>
      <c r="R56" s="253"/>
      <c r="S56" s="254"/>
      <c r="T56" s="239"/>
      <c r="U56" s="184"/>
    </row>
    <row r="57" spans="2:21" ht="24.75" hidden="1" customHeight="1" x14ac:dyDescent="0.25">
      <c r="B57" s="188"/>
      <c r="C57" s="172"/>
      <c r="D57" s="219"/>
      <c r="E57" s="55"/>
      <c r="F57" s="45"/>
      <c r="G57" s="64"/>
      <c r="H57" s="74"/>
      <c r="I57" s="72"/>
      <c r="J57" s="60"/>
      <c r="K57" s="60"/>
      <c r="L57" s="250"/>
      <c r="M57" s="251"/>
      <c r="N57" s="251"/>
      <c r="O57" s="251"/>
      <c r="P57" s="252"/>
      <c r="Q57" s="253"/>
      <c r="R57" s="253"/>
      <c r="S57" s="254"/>
      <c r="T57" s="239"/>
      <c r="U57" s="184"/>
    </row>
    <row r="58" spans="2:21" ht="24.75" hidden="1" customHeight="1" x14ac:dyDescent="0.25">
      <c r="B58" s="188"/>
      <c r="C58" s="172"/>
      <c r="D58" s="219"/>
      <c r="E58" s="55"/>
      <c r="F58" s="45"/>
      <c r="G58" s="64"/>
      <c r="H58" s="74"/>
      <c r="I58" s="72"/>
      <c r="J58" s="60"/>
      <c r="K58" s="60"/>
      <c r="L58" s="250"/>
      <c r="M58" s="251"/>
      <c r="N58" s="251"/>
      <c r="O58" s="251"/>
      <c r="P58" s="252"/>
      <c r="Q58" s="253"/>
      <c r="R58" s="253"/>
      <c r="S58" s="254"/>
      <c r="T58" s="239"/>
      <c r="U58" s="184"/>
    </row>
    <row r="59" spans="2:21" ht="24.75" hidden="1" customHeight="1" x14ac:dyDescent="0.25">
      <c r="B59" s="188"/>
      <c r="C59" s="172"/>
      <c r="D59" s="219"/>
      <c r="E59" s="55"/>
      <c r="F59" s="45"/>
      <c r="G59" s="64"/>
      <c r="H59" s="74"/>
      <c r="I59" s="72"/>
      <c r="J59" s="60"/>
      <c r="K59" s="60"/>
      <c r="L59" s="250"/>
      <c r="M59" s="251"/>
      <c r="N59" s="251"/>
      <c r="O59" s="251"/>
      <c r="P59" s="252"/>
      <c r="Q59" s="253"/>
      <c r="R59" s="253"/>
      <c r="S59" s="254"/>
      <c r="T59" s="239"/>
      <c r="U59" s="184"/>
    </row>
    <row r="60" spans="2:21" ht="24.75" hidden="1" customHeight="1" x14ac:dyDescent="0.25">
      <c r="B60" s="188"/>
      <c r="C60" s="172"/>
      <c r="D60" s="219"/>
      <c r="E60" s="55"/>
      <c r="F60" s="45"/>
      <c r="G60" s="64"/>
      <c r="H60" s="74"/>
      <c r="I60" s="72"/>
      <c r="J60" s="60"/>
      <c r="K60" s="60"/>
      <c r="L60" s="250"/>
      <c r="M60" s="251"/>
      <c r="N60" s="251"/>
      <c r="O60" s="251"/>
      <c r="P60" s="252"/>
      <c r="Q60" s="253"/>
      <c r="R60" s="253"/>
      <c r="S60" s="254"/>
      <c r="T60" s="239"/>
      <c r="U60" s="184"/>
    </row>
    <row r="61" spans="2:21" ht="24.75" hidden="1" customHeight="1" x14ac:dyDescent="0.25">
      <c r="B61" s="188"/>
      <c r="C61" s="172"/>
      <c r="D61" s="219"/>
      <c r="E61" s="55"/>
      <c r="F61" s="45"/>
      <c r="G61" s="64"/>
      <c r="H61" s="74"/>
      <c r="I61" s="72"/>
      <c r="J61" s="60"/>
      <c r="K61" s="60"/>
      <c r="L61" s="250"/>
      <c r="M61" s="251"/>
      <c r="N61" s="251"/>
      <c r="O61" s="251"/>
      <c r="P61" s="252"/>
      <c r="Q61" s="253"/>
      <c r="R61" s="253"/>
      <c r="S61" s="254"/>
      <c r="T61" s="239"/>
      <c r="U61" s="184"/>
    </row>
    <row r="62" spans="2:21" ht="24.75" hidden="1" customHeight="1" x14ac:dyDescent="0.25">
      <c r="B62" s="188"/>
      <c r="C62" s="172"/>
      <c r="D62" s="219"/>
      <c r="E62" s="55"/>
      <c r="F62" s="45"/>
      <c r="G62" s="64"/>
      <c r="H62" s="74"/>
      <c r="I62" s="72"/>
      <c r="J62" s="60"/>
      <c r="K62" s="60"/>
      <c r="L62" s="250"/>
      <c r="M62" s="251"/>
      <c r="N62" s="251"/>
      <c r="O62" s="251"/>
      <c r="P62" s="252"/>
      <c r="Q62" s="253"/>
      <c r="R62" s="253"/>
      <c r="S62" s="254"/>
      <c r="T62" s="239"/>
      <c r="U62" s="184"/>
    </row>
    <row r="63" spans="2:21" ht="24.75" hidden="1" customHeight="1" x14ac:dyDescent="0.25">
      <c r="B63" s="188"/>
      <c r="C63" s="172"/>
      <c r="D63" s="219"/>
      <c r="E63" s="55"/>
      <c r="F63" s="45"/>
      <c r="G63" s="64"/>
      <c r="H63" s="74"/>
      <c r="I63" s="72"/>
      <c r="J63" s="60"/>
      <c r="K63" s="60"/>
      <c r="L63" s="250"/>
      <c r="M63" s="251"/>
      <c r="N63" s="251"/>
      <c r="O63" s="251"/>
      <c r="P63" s="252"/>
      <c r="Q63" s="253"/>
      <c r="R63" s="253"/>
      <c r="S63" s="254"/>
      <c r="T63" s="239"/>
      <c r="U63" s="184"/>
    </row>
    <row r="64" spans="2:21" ht="24.75" hidden="1" customHeight="1" x14ac:dyDescent="0.25">
      <c r="B64" s="188"/>
      <c r="C64" s="172"/>
      <c r="D64" s="219"/>
      <c r="E64" s="55"/>
      <c r="F64" s="45"/>
      <c r="G64" s="64"/>
      <c r="H64" s="74"/>
      <c r="I64" s="72"/>
      <c r="J64" s="60"/>
      <c r="K64" s="60"/>
      <c r="L64" s="250"/>
      <c r="M64" s="251"/>
      <c r="N64" s="251"/>
      <c r="O64" s="251"/>
      <c r="P64" s="255"/>
      <c r="Q64" s="256"/>
      <c r="R64" s="256"/>
      <c r="S64" s="257"/>
      <c r="T64" s="239"/>
      <c r="U64" s="184"/>
    </row>
    <row r="65" spans="2:22" ht="21" customHeight="1" x14ac:dyDescent="0.25">
      <c r="B65" s="240"/>
      <c r="C65" s="174"/>
      <c r="D65" s="175"/>
      <c r="E65" s="160" t="s">
        <v>41</v>
      </c>
      <c r="F65" s="258"/>
      <c r="G65" s="259"/>
      <c r="H65" s="259"/>
      <c r="I65" s="259"/>
      <c r="J65" s="260"/>
      <c r="K65" s="75">
        <f>SUM(K42:K64)</f>
        <v>0</v>
      </c>
      <c r="L65" s="261"/>
      <c r="M65" s="262"/>
      <c r="N65" s="262"/>
      <c r="O65" s="262"/>
      <c r="P65" s="263"/>
      <c r="Q65" s="264"/>
      <c r="R65" s="264"/>
      <c r="S65" s="265"/>
      <c r="T65" s="185"/>
      <c r="U65" s="186"/>
    </row>
    <row r="66" spans="2:22" ht="17.25" customHeight="1" x14ac:dyDescent="0.25">
      <c r="B66" s="187">
        <v>5</v>
      </c>
      <c r="C66" s="170" t="s">
        <v>46</v>
      </c>
      <c r="D66" s="171"/>
      <c r="E66" s="267" t="s">
        <v>47</v>
      </c>
      <c r="F66" s="268"/>
      <c r="G66" s="268"/>
      <c r="H66" s="268"/>
      <c r="I66" s="268"/>
      <c r="J66" s="268"/>
      <c r="K66" s="76">
        <f>F19</f>
        <v>110633.45</v>
      </c>
      <c r="L66" s="269" t="s">
        <v>17</v>
      </c>
      <c r="M66" s="269"/>
      <c r="N66" s="269"/>
      <c r="O66" s="269"/>
      <c r="P66" s="269"/>
      <c r="Q66" s="269"/>
      <c r="R66" s="269"/>
      <c r="S66" s="270"/>
      <c r="T66" s="238" t="s">
        <v>34</v>
      </c>
      <c r="U66" s="182"/>
    </row>
    <row r="67" spans="2:22" ht="17.25" customHeight="1" x14ac:dyDescent="0.25">
      <c r="B67" s="188"/>
      <c r="C67" s="172"/>
      <c r="D67" s="173"/>
      <c r="E67" s="272" t="s">
        <v>48</v>
      </c>
      <c r="F67" s="273"/>
      <c r="G67" s="273"/>
      <c r="H67" s="273"/>
      <c r="I67" s="273"/>
      <c r="J67" s="273"/>
      <c r="K67" s="77">
        <f>K66+K40</f>
        <v>110629.75999999999</v>
      </c>
      <c r="L67" s="274" t="s">
        <v>17</v>
      </c>
      <c r="M67" s="274"/>
      <c r="N67" s="274"/>
      <c r="O67" s="274"/>
      <c r="P67" s="274"/>
      <c r="Q67" s="274"/>
      <c r="R67" s="274"/>
      <c r="S67" s="275"/>
      <c r="T67" s="239"/>
      <c r="U67" s="184"/>
    </row>
    <row r="68" spans="2:22" ht="16.5" customHeight="1" x14ac:dyDescent="0.25">
      <c r="B68" s="240"/>
      <c r="C68" s="174"/>
      <c r="D68" s="266"/>
      <c r="E68" s="276" t="s">
        <v>49</v>
      </c>
      <c r="F68" s="277"/>
      <c r="G68" s="277"/>
      <c r="H68" s="277"/>
      <c r="I68" s="277"/>
      <c r="J68" s="277"/>
      <c r="K68" s="78">
        <f>K67-K66</f>
        <v>-3.6900000000023283</v>
      </c>
      <c r="L68" s="278" t="str">
        <f>IF(K68&lt;0,"евро в пользу Ритет","евро в пользу Эмас")</f>
        <v>евро в пользу Ритет</v>
      </c>
      <c r="M68" s="278"/>
      <c r="N68" s="278"/>
      <c r="O68" s="278"/>
      <c r="P68" s="278"/>
      <c r="Q68" s="278"/>
      <c r="R68" s="278"/>
      <c r="S68" s="279"/>
      <c r="T68" s="271"/>
      <c r="U68" s="186"/>
    </row>
    <row r="69" spans="2:22" ht="15" customHeight="1" x14ac:dyDescent="0.25">
      <c r="B69" s="280">
        <v>6</v>
      </c>
      <c r="C69" s="166" t="s">
        <v>50</v>
      </c>
      <c r="D69" s="166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66"/>
      <c r="U69" s="167"/>
      <c r="V69" s="79"/>
    </row>
    <row r="70" spans="2:22" ht="59.25" customHeight="1" x14ac:dyDescent="0.25">
      <c r="B70" s="281"/>
      <c r="C70" s="140" t="s">
        <v>51</v>
      </c>
      <c r="D70" s="140"/>
      <c r="E70" s="150"/>
      <c r="F70" s="282" t="s">
        <v>52</v>
      </c>
      <c r="G70" s="283"/>
      <c r="H70" s="282" t="s">
        <v>53</v>
      </c>
      <c r="I70" s="283"/>
      <c r="J70" s="282" t="s">
        <v>54</v>
      </c>
      <c r="K70" s="283"/>
      <c r="L70" s="284" t="s">
        <v>55</v>
      </c>
      <c r="M70" s="167"/>
      <c r="N70" s="282" t="s">
        <v>56</v>
      </c>
      <c r="O70" s="283"/>
      <c r="P70" s="282" t="s">
        <v>57</v>
      </c>
      <c r="Q70" s="283"/>
      <c r="R70" s="282" t="s">
        <v>58</v>
      </c>
      <c r="S70" s="283"/>
      <c r="U70" s="4"/>
      <c r="V70" s="4"/>
    </row>
    <row r="71" spans="2:22" ht="22.5" customHeight="1" x14ac:dyDescent="0.25">
      <c r="B71" s="281"/>
      <c r="C71" s="152"/>
      <c r="D71" s="152"/>
      <c r="E71" s="153"/>
      <c r="F71" s="81" t="s">
        <v>59</v>
      </c>
      <c r="G71" s="82"/>
      <c r="H71" s="83" t="s">
        <v>60</v>
      </c>
      <c r="I71" s="84"/>
      <c r="J71" s="81" t="s">
        <v>60</v>
      </c>
      <c r="K71" s="84"/>
      <c r="L71" s="81" t="s">
        <v>60</v>
      </c>
      <c r="M71" s="84"/>
      <c r="N71" s="81" t="s">
        <v>60</v>
      </c>
      <c r="O71" s="82"/>
      <c r="P71" s="81" t="s">
        <v>60</v>
      </c>
      <c r="Q71" s="82"/>
      <c r="R71" s="81" t="s">
        <v>60</v>
      </c>
      <c r="S71" s="84">
        <f>G71+I71+K71+M71+O71+Q71</f>
        <v>0</v>
      </c>
      <c r="U71" s="4"/>
      <c r="V71" s="4"/>
    </row>
    <row r="72" spans="2:22" ht="22.5" customHeight="1" x14ac:dyDescent="0.25">
      <c r="B72" s="281"/>
      <c r="C72" s="85" t="s">
        <v>61</v>
      </c>
      <c r="D72" s="86" t="s">
        <v>60</v>
      </c>
      <c r="E72" s="80" t="s">
        <v>62</v>
      </c>
      <c r="F72" s="87" t="s">
        <v>63</v>
      </c>
      <c r="G72" s="88">
        <v>136647.19</v>
      </c>
      <c r="H72" s="89" t="s">
        <v>63</v>
      </c>
      <c r="I72" s="88">
        <v>33800</v>
      </c>
      <c r="J72" s="87" t="s">
        <v>63</v>
      </c>
      <c r="K72" s="88">
        <v>200000</v>
      </c>
      <c r="L72" s="87" t="s">
        <v>63</v>
      </c>
      <c r="M72" s="88">
        <v>30000</v>
      </c>
      <c r="N72" s="90" t="s">
        <v>63</v>
      </c>
      <c r="O72" s="88">
        <v>107533.43</v>
      </c>
      <c r="P72" s="90" t="s">
        <v>63</v>
      </c>
      <c r="Q72" s="88">
        <v>2132607.1800000002</v>
      </c>
      <c r="R72" s="90" t="s">
        <v>63</v>
      </c>
      <c r="S72" s="91">
        <f>G72+I72+K72+M72+O72+Q72</f>
        <v>2640587.8000000003</v>
      </c>
      <c r="U72" s="4"/>
      <c r="V72" s="4"/>
    </row>
    <row r="73" spans="2:22" ht="22.5" customHeight="1" x14ac:dyDescent="0.25">
      <c r="B73" s="155"/>
      <c r="C73" s="23" t="s">
        <v>64</v>
      </c>
      <c r="D73" s="285">
        <f>F19</f>
        <v>110633.45</v>
      </c>
      <c r="E73" s="286"/>
      <c r="F73" s="92" t="s">
        <v>62</v>
      </c>
      <c r="G73" s="93">
        <f>(G71*U79+G72)*100/(D73*U79)</f>
        <v>1.311910093939421</v>
      </c>
      <c r="H73" s="94" t="s">
        <v>62</v>
      </c>
      <c r="I73" s="93">
        <f>(I71*U79+I72)*100/(D73*U79)</f>
        <v>0.32450401047509597</v>
      </c>
      <c r="J73" s="92" t="s">
        <v>62</v>
      </c>
      <c r="K73" s="93">
        <f>(K71*U79+K72)*100/(D73*U79)</f>
        <v>1.920142073817136</v>
      </c>
      <c r="L73" s="92" t="s">
        <v>62</v>
      </c>
      <c r="M73" s="93">
        <f>(M71*U79+M72)*100/(D73*U79)</f>
        <v>0.2880213110725704</v>
      </c>
      <c r="N73" s="95" t="s">
        <v>62</v>
      </c>
      <c r="O73" s="96">
        <f>(O71*U79+O72)*100/(D73*U79)</f>
        <v>1.0323973164243492</v>
      </c>
      <c r="P73" s="95" t="s">
        <v>62</v>
      </c>
      <c r="Q73" s="96">
        <f>(Q71*U79+Q72)*100/(D73*U79)</f>
        <v>20.474543866212574</v>
      </c>
      <c r="R73" s="95" t="s">
        <v>62</v>
      </c>
      <c r="S73" s="96">
        <f>(S71*U79+S72)*100/(D73*U79)</f>
        <v>25.351518671941147</v>
      </c>
      <c r="U73" s="4"/>
      <c r="V73" s="4"/>
    </row>
    <row r="74" spans="2:22" ht="16.5" customHeight="1" x14ac:dyDescent="0.25">
      <c r="B74" s="5"/>
      <c r="C74" s="5"/>
      <c r="D74" s="97"/>
      <c r="E74" s="97"/>
      <c r="F74" s="97"/>
      <c r="G74" s="97"/>
      <c r="H74" s="98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5"/>
    </row>
    <row r="75" spans="2:22" ht="21" customHeight="1" x14ac:dyDescent="0.25">
      <c r="B75" s="5"/>
      <c r="C75" s="5"/>
      <c r="D75" s="97"/>
      <c r="E75" s="97"/>
      <c r="F75" s="97"/>
      <c r="G75" s="97"/>
      <c r="H75" s="98"/>
      <c r="I75" s="97"/>
      <c r="J75" s="99"/>
      <c r="K75" s="99"/>
      <c r="L75" s="99"/>
      <c r="M75" s="99"/>
      <c r="N75" s="99"/>
      <c r="O75" s="99"/>
      <c r="P75" s="99"/>
      <c r="Q75" s="99"/>
      <c r="R75" s="99"/>
      <c r="S75" s="287" t="s">
        <v>65</v>
      </c>
      <c r="T75" s="288"/>
      <c r="U75" s="289"/>
      <c r="V75" s="79"/>
    </row>
    <row r="76" spans="2:22" ht="21" customHeight="1" x14ac:dyDescent="0.25">
      <c r="B76" s="5"/>
      <c r="C76" s="5"/>
      <c r="D76" s="100"/>
      <c r="E76" s="101" t="s">
        <v>66</v>
      </c>
      <c r="F76" s="102" t="s">
        <v>67</v>
      </c>
      <c r="G76" s="103"/>
      <c r="H76" s="6"/>
      <c r="I76" s="104"/>
      <c r="J76" s="104"/>
      <c r="K76" s="101" t="s">
        <v>68</v>
      </c>
      <c r="L76" s="101"/>
      <c r="M76" s="99"/>
      <c r="N76" s="99"/>
      <c r="O76" s="5"/>
      <c r="P76" s="5"/>
      <c r="Q76" s="5"/>
      <c r="R76" s="5"/>
      <c r="S76" s="105"/>
      <c r="T76" s="106">
        <f>F16</f>
        <v>46008.875</v>
      </c>
      <c r="U76" s="107" t="s">
        <v>69</v>
      </c>
    </row>
    <row r="77" spans="2:22" ht="20.25" customHeight="1" x14ac:dyDescent="0.25">
      <c r="B77" s="5"/>
      <c r="C77" s="5"/>
      <c r="D77" s="97"/>
      <c r="E77" s="97"/>
      <c r="F77" s="97"/>
      <c r="G77" s="97"/>
      <c r="H77" s="98"/>
      <c r="I77" s="97"/>
      <c r="J77" s="97"/>
      <c r="K77" s="97"/>
      <c r="L77" s="99"/>
      <c r="M77" s="99"/>
      <c r="N77" s="99"/>
      <c r="O77" s="99"/>
      <c r="P77" s="99"/>
      <c r="Q77" s="99"/>
      <c r="R77" s="99"/>
      <c r="S77" s="284" t="s">
        <v>70</v>
      </c>
      <c r="T77" s="167"/>
      <c r="U77" s="28" t="s">
        <v>71</v>
      </c>
    </row>
    <row r="78" spans="2:22" ht="15.75" customHeight="1" x14ac:dyDescent="0.25">
      <c r="B78" s="5"/>
      <c r="C78" s="5"/>
      <c r="D78" s="5"/>
      <c r="E78" s="5"/>
      <c r="F78" s="5"/>
      <c r="G78" s="5"/>
      <c r="H78" s="6"/>
      <c r="I78" s="5"/>
      <c r="J78" s="5"/>
      <c r="K78" s="5"/>
      <c r="L78" s="99"/>
      <c r="M78" s="99"/>
      <c r="N78" s="99"/>
      <c r="O78" s="99"/>
      <c r="P78" s="99"/>
      <c r="Q78" s="99"/>
      <c r="R78" s="99"/>
      <c r="S78" s="290" t="s">
        <v>72</v>
      </c>
      <c r="T78" s="291"/>
      <c r="U78" s="108">
        <v>80.380700000000004</v>
      </c>
    </row>
    <row r="79" spans="2:22" ht="15.75" customHeight="1" x14ac:dyDescent="0.25">
      <c r="B79" s="5"/>
      <c r="C79" s="5"/>
      <c r="D79" s="100"/>
      <c r="E79" s="101" t="s">
        <v>73</v>
      </c>
      <c r="F79" s="102" t="s">
        <v>67</v>
      </c>
      <c r="G79" s="103"/>
      <c r="H79" s="6"/>
      <c r="I79" s="104"/>
      <c r="J79" s="104"/>
      <c r="K79" s="109" t="s">
        <v>74</v>
      </c>
      <c r="L79" s="109"/>
      <c r="M79" s="99"/>
      <c r="N79" s="99"/>
      <c r="O79" s="99"/>
      <c r="P79" s="99"/>
      <c r="Q79" s="99"/>
      <c r="R79" s="99"/>
      <c r="S79" s="290" t="s">
        <v>75</v>
      </c>
      <c r="T79" s="291"/>
      <c r="U79" s="110">
        <v>94.147800000000004</v>
      </c>
    </row>
    <row r="80" spans="2:22" ht="16.5" customHeight="1" x14ac:dyDescent="0.25">
      <c r="B80" s="5"/>
      <c r="C80" s="5"/>
      <c r="D80" s="5"/>
      <c r="E80" s="5"/>
      <c r="F80" s="5"/>
      <c r="G80" s="5"/>
      <c r="H80" s="6"/>
      <c r="I80" s="5"/>
      <c r="J80" s="5"/>
      <c r="K80" s="5"/>
      <c r="L80" s="99"/>
      <c r="M80" s="99"/>
      <c r="N80" s="99"/>
      <c r="O80" s="99"/>
      <c r="P80" s="99"/>
      <c r="Q80" s="99"/>
      <c r="R80" s="99"/>
      <c r="S80" s="292" t="s">
        <v>76</v>
      </c>
      <c r="T80" s="293"/>
      <c r="U80" s="111">
        <f>U79/U78</f>
        <v>1.1712737012740619</v>
      </c>
    </row>
    <row r="81" spans="1:22" ht="15.75" customHeight="1" x14ac:dyDescent="0.25">
      <c r="B81" s="5"/>
      <c r="C81" s="5"/>
      <c r="D81" s="5"/>
      <c r="E81" s="5"/>
      <c r="F81" s="5"/>
      <c r="G81" s="5"/>
      <c r="H81" s="6"/>
      <c r="I81" s="5"/>
      <c r="J81" s="5"/>
      <c r="K81" s="5"/>
      <c r="L81" s="97"/>
      <c r="M81" s="97"/>
      <c r="N81" s="97"/>
      <c r="O81" s="97"/>
      <c r="P81" s="97"/>
      <c r="Q81" s="97"/>
      <c r="R81" s="97"/>
      <c r="S81" s="99"/>
      <c r="T81" s="97"/>
      <c r="U81" s="5"/>
    </row>
    <row r="82" spans="1:22" ht="15.75" customHeight="1" x14ac:dyDescent="0.25">
      <c r="B82" s="5"/>
      <c r="C82" s="5"/>
      <c r="D82" s="100"/>
      <c r="E82" s="101" t="s">
        <v>77</v>
      </c>
      <c r="F82" s="102" t="s">
        <v>67</v>
      </c>
      <c r="G82" s="103"/>
      <c r="H82" s="6"/>
      <c r="I82" s="104"/>
      <c r="J82" s="104"/>
      <c r="K82" s="101" t="s">
        <v>78</v>
      </c>
      <c r="L82" s="101"/>
      <c r="M82" s="5"/>
      <c r="N82" s="5"/>
      <c r="O82" s="5"/>
      <c r="P82" s="5"/>
      <c r="Q82" s="5"/>
      <c r="R82" s="5"/>
      <c r="S82" s="97"/>
      <c r="T82" s="97"/>
      <c r="U82" s="5"/>
    </row>
    <row r="83" spans="1:22" ht="15.75" customHeight="1" x14ac:dyDescent="0.25">
      <c r="B83" s="5"/>
      <c r="C83" s="5"/>
      <c r="D83" s="5"/>
      <c r="E83" s="5"/>
      <c r="F83" s="5"/>
      <c r="G83" s="5"/>
      <c r="H83" s="6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1:22" x14ac:dyDescent="0.25">
      <c r="A84" s="4"/>
      <c r="B84" s="112"/>
      <c r="C84" s="112"/>
      <c r="D84" s="112"/>
      <c r="E84" s="112"/>
      <c r="F84" s="112"/>
      <c r="G84" s="112"/>
      <c r="H84" s="113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4"/>
    </row>
    <row r="85" spans="1:22" x14ac:dyDescent="0.25">
      <c r="A85" s="4"/>
      <c r="B85" s="112"/>
      <c r="C85" s="112"/>
      <c r="D85" s="112"/>
      <c r="E85" s="112"/>
      <c r="F85" s="112"/>
      <c r="G85" s="112"/>
      <c r="H85" s="113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4"/>
    </row>
    <row r="86" spans="1:22" x14ac:dyDescent="0.25">
      <c r="A86" s="4"/>
      <c r="B86" s="112"/>
      <c r="C86" s="112"/>
      <c r="D86" s="112"/>
      <c r="E86" s="112"/>
      <c r="F86" s="112"/>
      <c r="G86" s="112"/>
      <c r="H86" s="113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4"/>
    </row>
    <row r="87" spans="1:22" x14ac:dyDescent="0.25">
      <c r="A87" s="4"/>
      <c r="B87" s="112"/>
      <c r="C87" s="112"/>
      <c r="D87" s="112"/>
      <c r="E87" s="112"/>
      <c r="F87" s="112"/>
      <c r="G87" s="112"/>
      <c r="H87" s="113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4"/>
    </row>
    <row r="94" spans="1:22" x14ac:dyDescent="0.25">
      <c r="A94" s="4"/>
      <c r="J94" s="79"/>
      <c r="V94" s="4"/>
    </row>
    <row r="95" spans="1:22" x14ac:dyDescent="0.25">
      <c r="A95" s="4"/>
      <c r="M95" s="114"/>
      <c r="V95" s="4"/>
    </row>
    <row r="96" spans="1:22" x14ac:dyDescent="0.25">
      <c r="A96" s="4"/>
      <c r="J96" s="79"/>
      <c r="V96" s="4"/>
    </row>
    <row r="97" spans="1:22" x14ac:dyDescent="0.25">
      <c r="A97" s="4"/>
      <c r="M97" s="114"/>
      <c r="V97" s="4"/>
    </row>
  </sheetData>
  <mergeCells count="133">
    <mergeCell ref="S75:U75"/>
    <mergeCell ref="S77:T77"/>
    <mergeCell ref="S78:T78"/>
    <mergeCell ref="S79:T79"/>
    <mergeCell ref="S80:T80"/>
    <mergeCell ref="C69:U69"/>
    <mergeCell ref="B69:B73"/>
    <mergeCell ref="C70:E71"/>
    <mergeCell ref="F70:G70"/>
    <mergeCell ref="H70:I70"/>
    <mergeCell ref="J70:K70"/>
    <mergeCell ref="L70:M70"/>
    <mergeCell ref="N70:O70"/>
    <mergeCell ref="P70:Q70"/>
    <mergeCell ref="R70:S70"/>
    <mergeCell ref="D73:E73"/>
    <mergeCell ref="C66:D68"/>
    <mergeCell ref="E66:J66"/>
    <mergeCell ref="L66:S66"/>
    <mergeCell ref="T66:U68"/>
    <mergeCell ref="B66:B68"/>
    <mergeCell ref="E67:J67"/>
    <mergeCell ref="L67:S67"/>
    <mergeCell ref="E68:J68"/>
    <mergeCell ref="L68:S68"/>
    <mergeCell ref="P62:S62"/>
    <mergeCell ref="L63:O63"/>
    <mergeCell ref="P63:S63"/>
    <mergeCell ref="L64:O64"/>
    <mergeCell ref="P64:S64"/>
    <mergeCell ref="E65:F65"/>
    <mergeCell ref="G65:J65"/>
    <mergeCell ref="L65:O65"/>
    <mergeCell ref="P65:S65"/>
    <mergeCell ref="B42:B65"/>
    <mergeCell ref="L44:O44"/>
    <mergeCell ref="P44:S44"/>
    <mergeCell ref="L45:O45"/>
    <mergeCell ref="P45:S45"/>
    <mergeCell ref="L46:O46"/>
    <mergeCell ref="P46:S46"/>
    <mergeCell ref="L47:O47"/>
    <mergeCell ref="P47:S47"/>
    <mergeCell ref="L48:O48"/>
    <mergeCell ref="P48:S48"/>
    <mergeCell ref="L49:O49"/>
    <mergeCell ref="P49:S49"/>
    <mergeCell ref="L50:O50"/>
    <mergeCell ref="P50:S50"/>
    <mergeCell ref="L51:O51"/>
    <mergeCell ref="P51:S51"/>
    <mergeCell ref="L52:O52"/>
    <mergeCell ref="P52:S52"/>
    <mergeCell ref="L53:O53"/>
    <mergeCell ref="P53:S53"/>
    <mergeCell ref="L54:O54"/>
    <mergeCell ref="P54:S54"/>
    <mergeCell ref="L55:O55"/>
    <mergeCell ref="C41:D41"/>
    <mergeCell ref="E41:K41"/>
    <mergeCell ref="L41:O41"/>
    <mergeCell ref="P41:S41"/>
    <mergeCell ref="T41:U41"/>
    <mergeCell ref="C42:D65"/>
    <mergeCell ref="E42:K43"/>
    <mergeCell ref="L42:O43"/>
    <mergeCell ref="P42:S43"/>
    <mergeCell ref="T42:U65"/>
    <mergeCell ref="P55:S55"/>
    <mergeCell ref="L56:O56"/>
    <mergeCell ref="P56:S56"/>
    <mergeCell ref="L57:O57"/>
    <mergeCell ref="P57:S57"/>
    <mergeCell ref="L58:O58"/>
    <mergeCell ref="P58:S58"/>
    <mergeCell ref="L59:O59"/>
    <mergeCell ref="P59:S59"/>
    <mergeCell ref="L60:O60"/>
    <mergeCell ref="P60:S60"/>
    <mergeCell ref="L61:O61"/>
    <mergeCell ref="P61:S61"/>
    <mergeCell ref="L62:O62"/>
    <mergeCell ref="B28:B40"/>
    <mergeCell ref="L29:O29"/>
    <mergeCell ref="L30:O30"/>
    <mergeCell ref="L31:O31"/>
    <mergeCell ref="P31:S31"/>
    <mergeCell ref="L32:O32"/>
    <mergeCell ref="P32:S32"/>
    <mergeCell ref="L33:O33"/>
    <mergeCell ref="L34:O34"/>
    <mergeCell ref="L35:O35"/>
    <mergeCell ref="L36:O36"/>
    <mergeCell ref="P39:S39"/>
    <mergeCell ref="E40:F40"/>
    <mergeCell ref="G40:J40"/>
    <mergeCell ref="L40:O40"/>
    <mergeCell ref="P40:S40"/>
    <mergeCell ref="C27:D27"/>
    <mergeCell ref="E27:K27"/>
    <mergeCell ref="L27:O27"/>
    <mergeCell ref="P27:S27"/>
    <mergeCell ref="T27:U27"/>
    <mergeCell ref="C28:D40"/>
    <mergeCell ref="E28:F28"/>
    <mergeCell ref="L28:O28"/>
    <mergeCell ref="T28:U40"/>
    <mergeCell ref="B13:T13"/>
    <mergeCell ref="B14:E14"/>
    <mergeCell ref="B15:F15"/>
    <mergeCell ref="B16:E16"/>
    <mergeCell ref="B17:F17"/>
    <mergeCell ref="D19:E19"/>
    <mergeCell ref="B21:T21"/>
    <mergeCell ref="B23:U23"/>
    <mergeCell ref="C25:D26"/>
    <mergeCell ref="E25:F26"/>
    <mergeCell ref="G25:I25"/>
    <mergeCell ref="L25:O26"/>
    <mergeCell ref="P25:S26"/>
    <mergeCell ref="T25:U26"/>
    <mergeCell ref="B25:B26"/>
    <mergeCell ref="J25:J26"/>
    <mergeCell ref="K25:K26"/>
    <mergeCell ref="P2:U2"/>
    <mergeCell ref="P3:U3"/>
    <mergeCell ref="P4:U4"/>
    <mergeCell ref="P6:U6"/>
    <mergeCell ref="B7:U7"/>
    <mergeCell ref="B8:U8"/>
    <mergeCell ref="B9:U9"/>
    <mergeCell ref="B11:T11"/>
    <mergeCell ref="B12:T12"/>
  </mergeCells>
  <pageMargins left="0.23622047244094491" right="0.23622047244094491" top="0.35433070866141736" bottom="0.15748031496062992" header="0.31496062992125984" footer="0.31496062992125984"/>
  <pageSetup paperSize="9" scale="50" orientation="landscape" useFirstPageNumber="1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8"/>
  <sheetViews>
    <sheetView zoomScaleNormal="100" workbookViewId="0">
      <selection activeCell="L17" sqref="L17"/>
    </sheetView>
  </sheetViews>
  <sheetFormatPr defaultRowHeight="15" x14ac:dyDescent="0.25"/>
  <cols>
    <col min="1" max="1" width="15.7109375" customWidth="1"/>
    <col min="2" max="2" width="20.28515625" customWidth="1"/>
    <col min="3" max="3" width="4.140625" customWidth="1"/>
    <col min="4" max="4" width="13.140625" customWidth="1"/>
    <col min="5" max="5" width="16.42578125" customWidth="1"/>
    <col min="6" max="6" width="12.7109375" customWidth="1"/>
    <col min="7" max="7" width="14" customWidth="1"/>
    <col min="8" max="8" width="18" customWidth="1"/>
    <col min="9" max="9" width="11.28515625" customWidth="1"/>
    <col min="10" max="10" width="12.7109375" customWidth="1"/>
    <col min="11" max="11" width="10.140625" customWidth="1"/>
    <col min="12" max="12" width="12.7109375" customWidth="1"/>
    <col min="13" max="17" width="13.140625" customWidth="1"/>
    <col min="18" max="18" width="13.7109375" customWidth="1"/>
  </cols>
  <sheetData>
    <row r="1" spans="1:22" ht="15.75" customHeight="1" x14ac:dyDescent="0.25">
      <c r="A1" s="115" t="s">
        <v>65</v>
      </c>
    </row>
    <row r="2" spans="1:22" ht="16.5" customHeight="1" x14ac:dyDescent="0.25">
      <c r="A2" s="116">
        <f>'EMAS отгрузка 1 в 26'!F16</f>
        <v>46008.875</v>
      </c>
    </row>
    <row r="3" spans="1:22" ht="16.5" customHeight="1" x14ac:dyDescent="0.25">
      <c r="A3" s="117" t="s">
        <v>79</v>
      </c>
      <c r="B3" s="28" t="s">
        <v>71</v>
      </c>
      <c r="U3" s="1"/>
      <c r="V3" s="4"/>
    </row>
    <row r="4" spans="1:22" ht="15.75" customHeight="1" x14ac:dyDescent="0.25">
      <c r="A4" s="118" t="s">
        <v>72</v>
      </c>
      <c r="B4" s="119">
        <f>'EMAS отгрузка 1 в 26'!U78</f>
        <v>80.380700000000004</v>
      </c>
      <c r="U4" s="1"/>
      <c r="V4" s="4"/>
    </row>
    <row r="5" spans="1:22" ht="15.75" customHeight="1" x14ac:dyDescent="0.25">
      <c r="A5" s="120" t="s">
        <v>75</v>
      </c>
      <c r="B5" s="121">
        <f>'EMAS отгрузка 1 в 26'!U79</f>
        <v>94.147800000000004</v>
      </c>
      <c r="U5" s="1"/>
      <c r="V5" s="4"/>
    </row>
    <row r="6" spans="1:22" ht="16.5" customHeight="1" x14ac:dyDescent="0.25">
      <c r="A6" s="122" t="s">
        <v>76</v>
      </c>
      <c r="B6" s="123">
        <f>B5/B4</f>
        <v>1.1712737012740619</v>
      </c>
      <c r="C6" s="97"/>
      <c r="U6" s="1"/>
      <c r="V6" s="4"/>
    </row>
    <row r="7" spans="1:22" ht="16.5" customHeight="1" x14ac:dyDescent="0.25">
      <c r="A7" s="5"/>
      <c r="B7" s="97"/>
      <c r="C7" s="97"/>
      <c r="D7" s="97"/>
      <c r="E7" s="98"/>
      <c r="F7" s="97"/>
      <c r="G7" s="99"/>
      <c r="H7" s="99"/>
      <c r="I7" s="99"/>
      <c r="J7" s="99"/>
      <c r="K7" s="99"/>
      <c r="L7" s="99"/>
      <c r="M7" s="99"/>
      <c r="N7" s="99"/>
      <c r="O7" s="99"/>
    </row>
    <row r="8" spans="1:22" ht="16.5" customHeight="1" x14ac:dyDescent="0.25">
      <c r="A8" s="294" t="s">
        <v>50</v>
      </c>
      <c r="B8" s="168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9"/>
    </row>
    <row r="9" spans="1:22" ht="33" customHeight="1" x14ac:dyDescent="0.25">
      <c r="A9" s="144" t="s">
        <v>51</v>
      </c>
      <c r="B9" s="140"/>
      <c r="C9" s="150"/>
      <c r="D9" s="282" t="s">
        <v>52</v>
      </c>
      <c r="E9" s="283"/>
      <c r="F9" s="282" t="s">
        <v>53</v>
      </c>
      <c r="G9" s="283"/>
      <c r="H9" s="282" t="s">
        <v>54</v>
      </c>
      <c r="I9" s="283"/>
      <c r="J9" s="284" t="s">
        <v>55</v>
      </c>
      <c r="K9" s="167"/>
      <c r="L9" s="282" t="s">
        <v>56</v>
      </c>
      <c r="M9" s="283"/>
      <c r="N9" s="282" t="s">
        <v>57</v>
      </c>
      <c r="O9" s="283"/>
      <c r="P9" s="282" t="s">
        <v>58</v>
      </c>
      <c r="Q9" s="283"/>
    </row>
    <row r="10" spans="1:22" ht="16.5" customHeight="1" x14ac:dyDescent="0.25">
      <c r="A10" s="151"/>
      <c r="B10" s="152"/>
      <c r="C10" s="153"/>
      <c r="D10" s="81" t="s">
        <v>59</v>
      </c>
      <c r="E10" s="84">
        <f>'EMAS отгрузка 1 в 26'!G71</f>
        <v>0</v>
      </c>
      <c r="F10" s="83" t="s">
        <v>60</v>
      </c>
      <c r="G10" s="84"/>
      <c r="H10" s="81" t="s">
        <v>60</v>
      </c>
      <c r="I10" s="84"/>
      <c r="J10" s="81" t="s">
        <v>60</v>
      </c>
      <c r="K10" s="84"/>
      <c r="L10" s="81" t="s">
        <v>60</v>
      </c>
      <c r="M10" s="84"/>
      <c r="N10" s="81" t="s">
        <v>60</v>
      </c>
      <c r="O10" s="84"/>
      <c r="P10" s="81" t="s">
        <v>60</v>
      </c>
      <c r="Q10" s="84">
        <f>E10+G10+I10+K10+M10+O10</f>
        <v>0</v>
      </c>
    </row>
    <row r="11" spans="1:22" ht="16.5" customHeight="1" x14ac:dyDescent="0.25">
      <c r="A11" s="124" t="s">
        <v>61</v>
      </c>
      <c r="B11" s="85" t="s">
        <v>60</v>
      </c>
      <c r="C11" s="80" t="s">
        <v>62</v>
      </c>
      <c r="D11" s="87" t="s">
        <v>63</v>
      </c>
      <c r="E11" s="125">
        <f>'EMAS отгрузка 1 в 26'!G72</f>
        <v>136647.19</v>
      </c>
      <c r="F11" s="89" t="s">
        <v>63</v>
      </c>
      <c r="G11" s="125">
        <f>'EMAS отгрузка 1 в 26'!I72</f>
        <v>33800</v>
      </c>
      <c r="H11" s="87" t="s">
        <v>63</v>
      </c>
      <c r="I11" s="125">
        <f>'EMAS отгрузка 1 в 26'!K72</f>
        <v>200000</v>
      </c>
      <c r="J11" s="87" t="s">
        <v>63</v>
      </c>
      <c r="K11" s="125">
        <f>'EMAS отгрузка 1 в 26'!M72</f>
        <v>30000</v>
      </c>
      <c r="L11" s="87" t="s">
        <v>63</v>
      </c>
      <c r="M11" s="125">
        <f>'EMAS отгрузка 1 в 26'!O72</f>
        <v>107533.43</v>
      </c>
      <c r="N11" s="87" t="s">
        <v>63</v>
      </c>
      <c r="O11" s="125">
        <f>'EMAS отгрузка 1 в 26'!Q72</f>
        <v>2132607.1800000002</v>
      </c>
      <c r="P11" s="87" t="s">
        <v>63</v>
      </c>
      <c r="Q11" s="125">
        <f>E11+G11+I11+K11+M11+O11</f>
        <v>2640587.8000000003</v>
      </c>
    </row>
    <row r="12" spans="1:22" ht="16.5" customHeight="1" x14ac:dyDescent="0.25">
      <c r="A12" s="124" t="s">
        <v>64</v>
      </c>
      <c r="B12" s="295">
        <f>'EMAS отгрузка 1 в 26'!F19</f>
        <v>110633.45</v>
      </c>
      <c r="C12" s="286"/>
      <c r="D12" s="92" t="s">
        <v>62</v>
      </c>
      <c r="E12" s="93">
        <f>(E10*B5+E11)*100/(B12*B5)</f>
        <v>1.311910093939421</v>
      </c>
      <c r="F12" s="94" t="s">
        <v>62</v>
      </c>
      <c r="G12" s="93">
        <f>(G10*B5+G11)*100/(B12*B5)</f>
        <v>0.32450401047509597</v>
      </c>
      <c r="H12" s="92" t="s">
        <v>62</v>
      </c>
      <c r="I12" s="93">
        <f>(I10*B5+I11)*100/(B12*B5)</f>
        <v>1.920142073817136</v>
      </c>
      <c r="J12" s="92" t="s">
        <v>62</v>
      </c>
      <c r="K12" s="93">
        <f>(K10*B5+K11)*100/(B12*B5)</f>
        <v>0.2880213110725704</v>
      </c>
      <c r="L12" s="92" t="s">
        <v>62</v>
      </c>
      <c r="M12" s="93">
        <f>(M10*B5+M11)*100/(B12*B5)</f>
        <v>1.0323973164243492</v>
      </c>
      <c r="N12" s="92" t="s">
        <v>62</v>
      </c>
      <c r="O12" s="93">
        <f>(O10*B5+O11)*100/(B12*B5)</f>
        <v>20.474543866212574</v>
      </c>
      <c r="P12" s="92" t="s">
        <v>62</v>
      </c>
      <c r="Q12" s="93">
        <f>(Q10*B5+Q11)*100/(B12*B5)</f>
        <v>25.351518671941147</v>
      </c>
    </row>
    <row r="13" spans="1:22" ht="15.75" customHeight="1" x14ac:dyDescent="0.25">
      <c r="A13" s="5"/>
    </row>
    <row r="14" spans="1:22" ht="15.75" customHeight="1" x14ac:dyDescent="0.25">
      <c r="A14" s="5"/>
      <c r="J14" s="101" t="s">
        <v>73</v>
      </c>
      <c r="L14" s="103" t="str">
        <f>'EMAS отгрузка 1 в 26'!F76</f>
        <v>"27" января 2026г.</v>
      </c>
      <c r="M14" s="103"/>
      <c r="N14" s="104"/>
      <c r="O14" s="104"/>
      <c r="P14" s="101" t="s">
        <v>80</v>
      </c>
    </row>
    <row r="15" spans="1:22" ht="15.75" customHeight="1" x14ac:dyDescent="0.25">
      <c r="A15" s="5"/>
      <c r="J15" s="5"/>
      <c r="L15" s="5"/>
      <c r="M15" s="5"/>
      <c r="N15" s="5"/>
      <c r="O15" s="5"/>
      <c r="P15" s="5"/>
    </row>
    <row r="16" spans="1:22" ht="15.75" customHeight="1" x14ac:dyDescent="0.25">
      <c r="J16" s="5"/>
      <c r="L16" s="5"/>
      <c r="M16" s="5"/>
      <c r="N16" s="5"/>
      <c r="O16" s="5"/>
      <c r="P16" s="5"/>
    </row>
    <row r="17" spans="10:16" ht="15.75" customHeight="1" x14ac:dyDescent="0.25">
      <c r="J17" s="101" t="s">
        <v>77</v>
      </c>
      <c r="L17" s="103" t="s">
        <v>81</v>
      </c>
      <c r="M17" s="103"/>
      <c r="N17" s="104"/>
      <c r="O17" s="104"/>
      <c r="P17" s="101" t="s">
        <v>82</v>
      </c>
    </row>
    <row r="38" spans="2:8" ht="15.75" customHeight="1" x14ac:dyDescent="0.25">
      <c r="B38" s="5"/>
      <c r="C38" s="5"/>
      <c r="D38" s="5"/>
      <c r="E38" s="6"/>
      <c r="F38" s="5"/>
      <c r="G38" s="5"/>
      <c r="H38" s="5"/>
    </row>
  </sheetData>
  <mergeCells count="10">
    <mergeCell ref="B12:C12"/>
    <mergeCell ref="A8:Q8"/>
    <mergeCell ref="A9:C10"/>
    <mergeCell ref="D9:E9"/>
    <mergeCell ref="F9:G9"/>
    <mergeCell ref="H9:I9"/>
    <mergeCell ref="J9:K9"/>
    <mergeCell ref="L9:M9"/>
    <mergeCell ref="N9:O9"/>
    <mergeCell ref="P9:Q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EMAS отгрузка 1 в 26</vt:lpstr>
      <vt:lpstr>Затраты на доставку и ТО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2026-07-14T10:13:22Z</cp:lastPrinted>
  <dcterms:created xsi:type="dcterms:W3CDTF">2015-06-19T06:33:16Z</dcterms:created>
  <dcterms:modified xsi:type="dcterms:W3CDTF">2026-09-25T10:22:17Z</dcterms:modified>
</cp:coreProperties>
</file>