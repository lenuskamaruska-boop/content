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15330" windowHeight="6360" tabRatio="600" firstSheet="0" activeTab="0" autoFilterDateGrouping="1"/>
  </bookViews>
  <sheets>
    <sheet name="СР отгрузка 1 в 26" sheetId="1" state="visible" r:id="rId1"/>
    <sheet name="Затраты на доставку и ТО" sheetId="2" state="visible" r:id="rId2"/>
  </sheets>
  <definedNames>
    <definedName name="_xlnm._FilterDatabase" localSheetId="0" hidden="1">'Отгрузка ЭМАС 3.1 в 2026'!$B$25:$U$73</definedName>
    <definedName name="_xlnm.Print_Area" localSheetId="0">'Отгрузка ЭМАС 3.1 в 2026'!$A$1:$U$84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.0000"/>
    <numFmt numFmtId="165" formatCode="_-[$€-2]\ * #,##0.00_-;\-[$€-2]\ * #,##0.00_-;_-[$€-2]\ * &quot;-&quot;??_-;_-@_-"/>
    <numFmt numFmtId="166" formatCode="#,##0.00_ ;\-#,##0.00\ "/>
    <numFmt numFmtId="167" formatCode="General_)"/>
    <numFmt numFmtId="168" formatCode="_-* #,##0.00\ _T_L_-;\-* #,##0.00\ _T_L_-;_-* &quot;-&quot;??\ _T_L_-;_-@_-"/>
    <numFmt numFmtId="169" formatCode="[$-41F]General"/>
    <numFmt numFmtId="170" formatCode="[$-41F]0%"/>
    <numFmt numFmtId="171" formatCode="_-* #,##0.00\ &quot;TL&quot;_-;\-* #,##0.00\ &quot;TL&quot;_-;_-* &quot;-&quot;??\ &quot;TL&quot;_-;_-@_-"/>
    <numFmt numFmtId="172" formatCode="_-&quot;R$&quot;\ * #,##0.00_-;\-&quot;R$&quot;\ * #,##0.00_-;_-&quot;R$&quot;\ * &quot;-&quot;??_-;_-@_-"/>
    <numFmt numFmtId="173" formatCode="#,##0.00[$YTL-41F];[Red]&quot;-&quot;#,##0.00[$YTL-41F]"/>
    <numFmt numFmtId="174" formatCode="_-* #,##0\ _T_L_-;\-* #,##0\ _T_L_-;_-* &quot;-&quot;\ _T_L_-;_-@_-"/>
    <numFmt numFmtId="175" formatCode="_-* #,##0.00_-;\-* #,##0.00_-;_-* &quot;-&quot;??_-;_-@_-"/>
    <numFmt numFmtId="176" formatCode="_-* #,##0.00\ _₺_-;\-* #,##0.00\ _₺_-;_-* &quot;-&quot;??\ _₺_-;_-@_-"/>
    <numFmt numFmtId="177" formatCode="dd.mm.yyyy"/>
  </numFmts>
  <fonts count="61">
    <font>
      <name val="Calibri"/>
      <charset val="204"/>
      <family val="2"/>
      <color theme="1"/>
      <sz val="11"/>
      <scheme val="minor"/>
    </font>
    <font>
      <name val="MS Sans Serif"/>
      <charset val="162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FF0000"/>
      <sz val="10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8"/>
    </font>
    <font>
      <name val="Arial"/>
      <charset val="204"/>
      <family val="2"/>
      <color indexed="8"/>
      <sz val="10"/>
    </font>
    <font>
      <name val="Calibri"/>
      <charset val="162"/>
      <family val="2"/>
      <color theme="1"/>
      <sz val="11"/>
      <scheme val="minor"/>
    </font>
    <font>
      <name val="Times New Roman"/>
      <charset val="162"/>
      <family val="1"/>
      <sz val="10"/>
    </font>
    <font>
      <name val="Courier"/>
      <family val="3"/>
      <sz val="10"/>
    </font>
    <font>
      <name val="Arial"/>
      <charset val="162"/>
      <family val="2"/>
      <sz val="10"/>
    </font>
    <font>
      <name val="Arial"/>
      <charset val="204"/>
      <family val="2"/>
      <sz val="10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b val="1"/>
      <sz val="12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sz val="12"/>
      <scheme val="minor"/>
    </font>
    <font>
      <name val="Times New Roman"/>
      <charset val="204"/>
      <family val="1"/>
      <sz val="9.800000000000001"/>
    </font>
    <font>
      <name val="Times New Roman"/>
      <charset val="204"/>
      <family val="1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sz val="14"/>
    </font>
    <font>
      <name val="Arial"/>
      <charset val="204"/>
      <family val="2"/>
      <sz val="8"/>
    </font>
    <font>
      <name val="Cambria"/>
      <charset val="162"/>
      <family val="2"/>
      <color theme="3"/>
      <sz val="18"/>
      <scheme val="major"/>
    </font>
    <font>
      <name val="Calibri"/>
      <charset val="162"/>
      <family val="2"/>
      <b val="1"/>
      <color theme="3"/>
      <sz val="15"/>
      <scheme val="minor"/>
    </font>
    <font>
      <name val="Calibri"/>
      <charset val="162"/>
      <family val="2"/>
      <b val="1"/>
      <color theme="3"/>
      <sz val="13"/>
      <scheme val="minor"/>
    </font>
    <font>
      <name val="Calibri"/>
      <charset val="162"/>
      <family val="2"/>
      <b val="1"/>
      <color theme="3"/>
      <sz val="11"/>
      <scheme val="minor"/>
    </font>
    <font>
      <name val="Calibri"/>
      <charset val="162"/>
      <family val="2"/>
      <color rgb="FF006100"/>
      <sz val="11"/>
      <scheme val="minor"/>
    </font>
    <font>
      <name val="Calibri"/>
      <charset val="162"/>
      <family val="2"/>
      <color rgb="FF9C0006"/>
      <sz val="11"/>
      <scheme val="minor"/>
    </font>
    <font>
      <name val="Calibri"/>
      <charset val="162"/>
      <family val="2"/>
      <color rgb="FF9C6500"/>
      <sz val="11"/>
      <scheme val="minor"/>
    </font>
    <font>
      <name val="Calibri"/>
      <charset val="162"/>
      <family val="2"/>
      <color rgb="FF3F3F76"/>
      <sz val="11"/>
      <scheme val="minor"/>
    </font>
    <font>
      <name val="Calibri"/>
      <charset val="162"/>
      <family val="2"/>
      <b val="1"/>
      <color rgb="FF3F3F3F"/>
      <sz val="11"/>
      <scheme val="minor"/>
    </font>
    <font>
      <name val="Calibri"/>
      <charset val="162"/>
      <family val="2"/>
      <b val="1"/>
      <color rgb="FFFA7D00"/>
      <sz val="11"/>
      <scheme val="minor"/>
    </font>
    <font>
      <name val="Calibri"/>
      <charset val="162"/>
      <family val="2"/>
      <color rgb="FFFA7D00"/>
      <sz val="11"/>
      <scheme val="minor"/>
    </font>
    <font>
      <name val="Calibri"/>
      <charset val="162"/>
      <family val="2"/>
      <b val="1"/>
      <color theme="0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i val="1"/>
      <color rgb="FF7F7F7F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color theme="0"/>
      <sz val="11"/>
      <scheme val="minor"/>
    </font>
    <font>
      <name val="Courier"/>
      <sz val="10"/>
    </font>
    <font>
      <name val="Arial Tur"/>
      <charset val="162"/>
      <sz val="10"/>
    </font>
    <font>
      <name val="Arial Tur"/>
      <charset val="162"/>
      <family val="2"/>
      <sz val="10"/>
    </font>
    <font>
      <name val="Courier"/>
      <charset val="162"/>
      <family val="1"/>
      <sz val="10"/>
    </font>
    <font>
      <name val="Times New Roman TUR"/>
      <charset val="162"/>
      <sz val="10"/>
    </font>
    <font>
      <name val="Calibri"/>
      <charset val="162"/>
      <family val="2"/>
      <color indexed="8"/>
      <sz val="11"/>
    </font>
    <font>
      <name val="Arial"/>
      <charset val="162"/>
      <family val="2"/>
      <color rgb="FF000000"/>
      <sz val="11"/>
    </font>
    <font>
      <name val="Calibri"/>
      <charset val="162"/>
      <family val="2"/>
      <color rgb="FF000000"/>
      <sz val="11"/>
    </font>
    <font>
      <name val="Arial"/>
      <charset val="162"/>
      <family val="2"/>
      <b val="1"/>
      <i val="1"/>
      <color theme="1"/>
      <sz val="16"/>
    </font>
    <font>
      <name val="Arial"/>
      <charset val="162"/>
      <family val="2"/>
      <b val="1"/>
      <i val="1"/>
      <color rgb="FF000000"/>
      <sz val="16"/>
    </font>
    <font>
      <name val="Calibri"/>
      <charset val="134"/>
      <family val="2"/>
      <color theme="10"/>
      <sz val="11"/>
      <u val="single"/>
      <scheme val="minor"/>
    </font>
    <font>
      <name val="Calibri"/>
      <charset val="162"/>
      <family val="2"/>
      <color theme="10"/>
      <sz val="11"/>
      <u val="single"/>
    </font>
    <font>
      <name val="Calibri"/>
      <charset val="134"/>
      <family val="2"/>
      <color theme="1"/>
      <sz val="11"/>
      <scheme val="minor"/>
    </font>
    <font>
      <name val="Times New Roman"/>
      <charset val="162"/>
      <family val="1"/>
      <color rgb="FF000000"/>
      <sz val="10"/>
    </font>
    <font>
      <name val="Arial"/>
      <charset val="162"/>
      <family val="2"/>
      <color theme="1"/>
      <sz val="11"/>
    </font>
    <font>
      <name val="Arial"/>
      <charset val="162"/>
      <family val="2"/>
      <b val="1"/>
      <i val="1"/>
      <color theme="1"/>
      <sz val="11"/>
      <u val="single"/>
    </font>
    <font>
      <name val="Arial"/>
      <charset val="162"/>
      <family val="2"/>
      <b val="1"/>
      <i val="1"/>
      <color rgb="FF000000"/>
      <sz val="11"/>
      <u val="single"/>
    </font>
    <font>
      <name val="Helv"/>
      <sz val="10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9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40">
    <xf numFmtId="0" fontId="5" fillId="0" borderId="0"/>
    <xf numFmtId="0" fontId="1" fillId="0" borderId="0"/>
    <xf numFmtId="43" fontId="5" fillId="0" borderId="0"/>
    <xf numFmtId="0" fontId="24" fillId="0" borderId="0"/>
    <xf numFmtId="0" fontId="7" fillId="0" borderId="0" applyAlignment="1">
      <alignment vertical="top"/>
    </xf>
    <xf numFmtId="0" fontId="7" fillId="0" borderId="0" applyAlignment="1">
      <alignment vertical="top"/>
    </xf>
    <xf numFmtId="0" fontId="7" fillId="0" borderId="0" applyAlignment="1">
      <alignment vertical="top"/>
    </xf>
    <xf numFmtId="0" fontId="24" fillId="0" borderId="0" applyAlignment="1">
      <alignment horizontal="left"/>
    </xf>
    <xf numFmtId="0" fontId="8" fillId="0" borderId="0"/>
    <xf numFmtId="0" fontId="9" fillId="0" borderId="0"/>
    <xf numFmtId="167" fontId="10" fillId="0" borderId="0"/>
    <xf numFmtId="9" fontId="11" fillId="0" borderId="0"/>
    <xf numFmtId="0" fontId="5" fillId="0" borderId="0"/>
    <xf numFmtId="0" fontId="13" fillId="0" borderId="0"/>
    <xf numFmtId="0" fontId="12" fillId="0" borderId="0"/>
    <xf numFmtId="0" fontId="12" fillId="0" borderId="0"/>
    <xf numFmtId="0" fontId="7" fillId="0" borderId="0" applyAlignment="1">
      <alignment vertical="top"/>
    </xf>
    <xf numFmtId="0" fontId="7" fillId="0" borderId="0" applyAlignment="1">
      <alignment vertical="top"/>
    </xf>
    <xf numFmtId="43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top"/>
    </xf>
    <xf numFmtId="0" fontId="5" fillId="0" borderId="0"/>
    <xf numFmtId="0" fontId="5" fillId="0" borderId="0"/>
    <xf numFmtId="43" fontId="5" fillId="0" borderId="0"/>
    <xf numFmtId="43" fontId="5" fillId="0" borderId="0"/>
    <xf numFmtId="0" fontId="24" fillId="0" borderId="0"/>
    <xf numFmtId="0" fontId="7" fillId="0" borderId="0" applyAlignment="1">
      <alignment vertical="top"/>
    </xf>
    <xf numFmtId="0" fontId="5" fillId="0" borderId="0"/>
    <xf numFmtId="0" fontId="5" fillId="0" borderId="0"/>
    <xf numFmtId="0" fontId="26" fillId="0" borderId="44"/>
    <xf numFmtId="0" fontId="27" fillId="0" borderId="45"/>
    <xf numFmtId="0" fontId="28" fillId="0" borderId="46"/>
    <xf numFmtId="0" fontId="28" fillId="0" borderId="0"/>
    <xf numFmtId="0" fontId="29" fillId="2" borderId="0"/>
    <xf numFmtId="0" fontId="30" fillId="3" borderId="0"/>
    <xf numFmtId="0" fontId="31" fillId="4" borderId="0"/>
    <xf numFmtId="0" fontId="32" fillId="5" borderId="47"/>
    <xf numFmtId="0" fontId="33" fillId="6" borderId="48"/>
    <xf numFmtId="0" fontId="34" fillId="6" borderId="47"/>
    <xf numFmtId="0" fontId="35" fillId="0" borderId="49"/>
    <xf numFmtId="0" fontId="36" fillId="7" borderId="50"/>
    <xf numFmtId="0" fontId="37" fillId="0" borderId="0"/>
    <xf numFmtId="0" fontId="38" fillId="0" borderId="0"/>
    <xf numFmtId="0" fontId="39" fillId="0" borderId="52"/>
    <xf numFmtId="0" fontId="40" fillId="9" borderId="0"/>
    <xf numFmtId="0" fontId="8" fillId="10" borderId="0"/>
    <xf numFmtId="0" fontId="8" fillId="11" borderId="0"/>
    <xf numFmtId="0" fontId="40" fillId="12" borderId="0"/>
    <xf numFmtId="0" fontId="40" fillId="13" borderId="0"/>
    <xf numFmtId="0" fontId="8" fillId="14" borderId="0"/>
    <xf numFmtId="0" fontId="8" fillId="15" borderId="0"/>
    <xf numFmtId="0" fontId="40" fillId="16" borderId="0"/>
    <xf numFmtId="0" fontId="40" fillId="17" borderId="0"/>
    <xf numFmtId="0" fontId="8" fillId="18" borderId="0"/>
    <xf numFmtId="0" fontId="8" fillId="19" borderId="0"/>
    <xf numFmtId="0" fontId="40" fillId="20" borderId="0"/>
    <xf numFmtId="0" fontId="40" fillId="21" borderId="0"/>
    <xf numFmtId="0" fontId="8" fillId="22" borderId="0"/>
    <xf numFmtId="0" fontId="8" fillId="23" borderId="0"/>
    <xf numFmtId="0" fontId="40" fillId="24" borderId="0"/>
    <xf numFmtId="0" fontId="40" fillId="25" borderId="0"/>
    <xf numFmtId="0" fontId="8" fillId="26" borderId="0"/>
    <xf numFmtId="0" fontId="8" fillId="27" borderId="0"/>
    <xf numFmtId="0" fontId="40" fillId="28" borderId="0"/>
    <xf numFmtId="0" fontId="40" fillId="29" borderId="0"/>
    <xf numFmtId="0" fontId="8" fillId="30" borderId="0"/>
    <xf numFmtId="0" fontId="8" fillId="31" borderId="0"/>
    <xf numFmtId="0" fontId="40" fillId="32" borderId="0"/>
    <xf numFmtId="167" fontId="41" fillId="0" borderId="0"/>
    <xf numFmtId="0" fontId="46" fillId="33" borderId="0"/>
    <xf numFmtId="0" fontId="25" fillId="0" borderId="0"/>
    <xf numFmtId="168" fontId="11" fillId="0" borderId="0"/>
    <xf numFmtId="169" fontId="47" fillId="0" borderId="0"/>
    <xf numFmtId="169" fontId="48" fillId="0" borderId="0"/>
    <xf numFmtId="169" fontId="48" fillId="0" borderId="0"/>
    <xf numFmtId="169" fontId="48" fillId="0" borderId="0"/>
    <xf numFmtId="169" fontId="48" fillId="0" borderId="0"/>
    <xf numFmtId="169" fontId="47" fillId="0" borderId="0"/>
    <xf numFmtId="169" fontId="47" fillId="0" borderId="0"/>
    <xf numFmtId="169" fontId="47" fillId="0" borderId="0"/>
    <xf numFmtId="169" fontId="47" fillId="0" borderId="0"/>
    <xf numFmtId="170" fontId="47" fillId="0" borderId="0"/>
    <xf numFmtId="170" fontId="47" fillId="0" borderId="0"/>
    <xf numFmtId="170" fontId="47" fillId="0" borderId="0"/>
    <xf numFmtId="170" fontId="48" fillId="0" borderId="0"/>
    <xf numFmtId="170" fontId="47" fillId="0" borderId="0"/>
    <xf numFmtId="170" fontId="47" fillId="0" borderId="0"/>
    <xf numFmtId="170" fontId="47" fillId="0" borderId="0"/>
    <xf numFmtId="0" fontId="49" fillId="0" borderId="0" applyAlignment="1">
      <alignment horizontal="center"/>
    </xf>
    <xf numFmtId="169" fontId="50" fillId="0" borderId="0" applyAlignment="1">
      <alignment horizontal="center"/>
    </xf>
    <xf numFmtId="169" fontId="50" fillId="0" borderId="0" applyAlignment="1">
      <alignment horizontal="center"/>
    </xf>
    <xf numFmtId="169" fontId="50" fillId="0" borderId="0" applyAlignment="1">
      <alignment horizontal="center"/>
    </xf>
    <xf numFmtId="169" fontId="50" fillId="0" borderId="0" applyAlignment="1">
      <alignment horizontal="center"/>
    </xf>
    <xf numFmtId="169" fontId="50" fillId="0" borderId="0" applyAlignment="1">
      <alignment horizontal="center"/>
    </xf>
    <xf numFmtId="0" fontId="50" fillId="0" borderId="0" applyAlignment="1">
      <alignment horizontal="center"/>
    </xf>
    <xf numFmtId="0" fontId="49" fillId="0" borderId="0" applyAlignment="1">
      <alignment horizontal="center" textRotation="90"/>
    </xf>
    <xf numFmtId="169" fontId="50" fillId="0" borderId="0" applyAlignment="1">
      <alignment horizontal="center" textRotation="90"/>
    </xf>
    <xf numFmtId="169" fontId="50" fillId="0" borderId="0" applyAlignment="1">
      <alignment horizontal="center" textRotation="90"/>
    </xf>
    <xf numFmtId="169" fontId="50" fillId="0" borderId="0" applyAlignment="1">
      <alignment horizontal="center" textRotation="90"/>
    </xf>
    <xf numFmtId="169" fontId="50" fillId="0" borderId="0" applyAlignment="1">
      <alignment horizontal="center" textRotation="90"/>
    </xf>
    <xf numFmtId="169" fontId="50" fillId="0" borderId="0" applyAlignment="1">
      <alignment horizontal="center" textRotation="90"/>
    </xf>
    <xf numFmtId="0" fontId="50" fillId="0" borderId="0" applyAlignment="1">
      <alignment horizontal="center" textRotation="90"/>
    </xf>
    <xf numFmtId="0" fontId="51" fillId="0" borderId="0" applyAlignment="1">
      <alignment vertical="center"/>
    </xf>
    <xf numFmtId="0" fontId="52" fillId="0" borderId="0" applyAlignment="1" applyProtection="1">
      <alignment vertical="top"/>
      <protection locked="0" hidden="0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69" fontId="48" fillId="0" borderId="0" applyAlignment="1">
      <alignment vertical="center"/>
    </xf>
    <xf numFmtId="0" fontId="53" fillId="0" borderId="0" applyAlignment="1">
      <alignment vertical="center"/>
    </xf>
    <xf numFmtId="169" fontId="48" fillId="0" borderId="0" applyAlignment="1">
      <alignment vertical="center"/>
    </xf>
    <xf numFmtId="167" fontId="44" fillId="0" borderId="0"/>
    <xf numFmtId="0" fontId="13" fillId="0" borderId="0"/>
    <xf numFmtId="169" fontId="48" fillId="0" borderId="0" applyAlignment="1">
      <alignment vertical="center"/>
    </xf>
    <xf numFmtId="0" fontId="42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8" fillId="0" borderId="0"/>
    <xf numFmtId="0" fontId="8" fillId="0" borderId="0"/>
    <xf numFmtId="0" fontId="13" fillId="0" borderId="0"/>
    <xf numFmtId="0" fontId="53" fillId="0" borderId="0" applyAlignment="1">
      <alignment vertical="center"/>
    </xf>
    <xf numFmtId="167" fontId="10" fillId="0" borderId="0"/>
    <xf numFmtId="0" fontId="53" fillId="0" borderId="0" applyAlignment="1">
      <alignment vertical="center"/>
    </xf>
    <xf numFmtId="167" fontId="44" fillId="0" borderId="0"/>
    <xf numFmtId="0" fontId="53" fillId="0" borderId="0" applyAlignment="1">
      <alignment vertical="center"/>
    </xf>
    <xf numFmtId="0" fontId="8" fillId="0" borderId="0"/>
    <xf numFmtId="0" fontId="53" fillId="0" borderId="0" applyAlignment="1">
      <alignment vertical="center"/>
    </xf>
    <xf numFmtId="167" fontId="44" fillId="0" borderId="0"/>
    <xf numFmtId="0" fontId="53" fillId="0" borderId="0" applyAlignment="1">
      <alignment vertical="center"/>
    </xf>
    <xf numFmtId="0" fontId="8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45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167" fontId="10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46" fillId="0" borderId="0"/>
    <xf numFmtId="167" fontId="10" fillId="0" borderId="0"/>
    <xf numFmtId="0" fontId="54" fillId="0" borderId="0"/>
    <xf numFmtId="0" fontId="8" fillId="0" borderId="0"/>
    <xf numFmtId="0" fontId="54" fillId="0" borderId="0"/>
    <xf numFmtId="0" fontId="55" fillId="0" borderId="0"/>
    <xf numFmtId="0" fontId="11" fillId="0" borderId="0"/>
    <xf numFmtId="0" fontId="8" fillId="0" borderId="0"/>
    <xf numFmtId="0" fontId="54" fillId="0" borderId="0"/>
    <xf numFmtId="0" fontId="8" fillId="0" borderId="0"/>
    <xf numFmtId="167" fontId="10" fillId="0" borderId="0"/>
    <xf numFmtId="0" fontId="42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13" fillId="0" borderId="0"/>
    <xf numFmtId="0" fontId="11" fillId="0" borderId="0"/>
    <xf numFmtId="0" fontId="8" fillId="0" borderId="0"/>
    <xf numFmtId="0" fontId="11" fillId="0" borderId="0"/>
    <xf numFmtId="0" fontId="55" fillId="0" borderId="0"/>
    <xf numFmtId="0" fontId="8" fillId="0" borderId="0"/>
    <xf numFmtId="0" fontId="43" fillId="0" borderId="0"/>
    <xf numFmtId="0" fontId="53" fillId="0" borderId="0" applyAlignment="1">
      <alignment vertical="center"/>
    </xf>
    <xf numFmtId="0" fontId="55" fillId="0" borderId="0"/>
    <xf numFmtId="0" fontId="11" fillId="0" borderId="0"/>
    <xf numFmtId="0" fontId="43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13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3" fillId="0" borderId="0"/>
    <xf numFmtId="0" fontId="46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8" fillId="0" borderId="0"/>
    <xf numFmtId="0" fontId="53" fillId="0" borderId="0" applyAlignment="1">
      <alignment vertical="center"/>
    </xf>
    <xf numFmtId="0" fontId="8" fillId="0" borderId="0"/>
    <xf numFmtId="0" fontId="11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11" fillId="0" borderId="0"/>
    <xf numFmtId="0" fontId="53" fillId="0" borderId="0" applyAlignment="1">
      <alignment vertical="center"/>
    </xf>
    <xf numFmtId="0" fontId="11" fillId="0" borderId="0"/>
    <xf numFmtId="0" fontId="8" fillId="0" borderId="0"/>
    <xf numFmtId="0" fontId="8" fillId="0" borderId="0"/>
    <xf numFmtId="167" fontId="44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167" fontId="44" fillId="0" borderId="0"/>
    <xf numFmtId="0" fontId="53" fillId="0" borderId="0" applyAlignment="1">
      <alignment vertical="center"/>
    </xf>
    <xf numFmtId="167" fontId="44" fillId="0" borderId="0"/>
    <xf numFmtId="0" fontId="8" fillId="0" borderId="0"/>
    <xf numFmtId="0" fontId="11" fillId="0" borderId="0"/>
    <xf numFmtId="0" fontId="46" fillId="0" borderId="0"/>
    <xf numFmtId="0" fontId="8" fillId="0" borderId="0"/>
    <xf numFmtId="0" fontId="11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167" fontId="44" fillId="0" borderId="0"/>
    <xf numFmtId="0" fontId="53" fillId="0" borderId="0" applyAlignment="1">
      <alignment vertical="center"/>
    </xf>
    <xf numFmtId="0" fontId="8" fillId="0" borderId="0"/>
    <xf numFmtId="0" fontId="8" fillId="0" borderId="0"/>
    <xf numFmtId="0" fontId="48" fillId="0" borderId="0"/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13" fillId="8" borderId="51"/>
    <xf numFmtId="0" fontId="8" fillId="8" borderId="51"/>
    <xf numFmtId="171" fontId="13" fillId="0" borderId="0"/>
    <xf numFmtId="172" fontId="13" fillId="0" borderId="0"/>
    <xf numFmtId="0" fontId="56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0" fontId="57" fillId="0" borderId="0"/>
    <xf numFmtId="173" fontId="56" fillId="0" borderId="0"/>
    <xf numFmtId="173" fontId="57" fillId="0" borderId="0"/>
    <xf numFmtId="173" fontId="57" fillId="0" borderId="0"/>
    <xf numFmtId="173" fontId="57" fillId="0" borderId="0"/>
    <xf numFmtId="173" fontId="57" fillId="0" borderId="0"/>
    <xf numFmtId="173" fontId="57" fillId="0" borderId="0"/>
    <xf numFmtId="173" fontId="57" fillId="0" borderId="0"/>
    <xf numFmtId="174" fontId="42" fillId="0" borderId="0"/>
    <xf numFmtId="168" fontId="42" fillId="0" borderId="0"/>
    <xf numFmtId="175" fontId="11" fillId="0" borderId="0"/>
    <xf numFmtId="168" fontId="42" fillId="0" borderId="0"/>
    <xf numFmtId="175" fontId="11" fillId="0" borderId="0"/>
    <xf numFmtId="168" fontId="42" fillId="0" borderId="0"/>
    <xf numFmtId="168" fontId="42" fillId="0" borderId="0"/>
    <xf numFmtId="168" fontId="42" fillId="0" borderId="0"/>
    <xf numFmtId="168" fontId="45" fillId="0" borderId="0"/>
    <xf numFmtId="168" fontId="42" fillId="0" borderId="0"/>
    <xf numFmtId="168" fontId="45" fillId="0" borderId="0"/>
    <xf numFmtId="168" fontId="45" fillId="0" borderId="0"/>
    <xf numFmtId="168" fontId="45" fillId="0" borderId="0"/>
    <xf numFmtId="168" fontId="45" fillId="0" borderId="0"/>
    <xf numFmtId="175" fontId="11" fillId="0" borderId="0"/>
    <xf numFmtId="168" fontId="45" fillId="0" borderId="0"/>
    <xf numFmtId="168" fontId="11" fillId="0" borderId="0"/>
    <xf numFmtId="175" fontId="11" fillId="0" borderId="0"/>
    <xf numFmtId="176" fontId="53" fillId="0" borderId="0"/>
    <xf numFmtId="175" fontId="11" fillId="0" borderId="0"/>
    <xf numFmtId="175" fontId="11" fillId="0" borderId="0"/>
    <xf numFmtId="176" fontId="13" fillId="0" borderId="0"/>
    <xf numFmtId="175" fontId="11" fillId="0" borderId="0"/>
    <xf numFmtId="168" fontId="45" fillId="0" borderId="0"/>
    <xf numFmtId="168" fontId="45" fillId="0" borderId="0"/>
    <xf numFmtId="168" fontId="45" fillId="0" borderId="0"/>
    <xf numFmtId="168" fontId="45" fillId="0" borderId="0"/>
    <xf numFmtId="168" fontId="45" fillId="0" borderId="0"/>
    <xf numFmtId="168" fontId="45" fillId="0" borderId="0"/>
    <xf numFmtId="175" fontId="11" fillId="0" borderId="0"/>
    <xf numFmtId="175" fontId="11" fillId="0" borderId="0"/>
    <xf numFmtId="175" fontId="11" fillId="0" borderId="0"/>
    <xf numFmtId="168" fontId="45" fillId="0" borderId="0"/>
    <xf numFmtId="168" fontId="8" fillId="0" borderId="0"/>
    <xf numFmtId="175" fontId="11" fillId="0" borderId="0"/>
    <xf numFmtId="175" fontId="11" fillId="0" borderId="0"/>
    <xf numFmtId="176" fontId="53" fillId="0" borderId="0"/>
    <xf numFmtId="175" fontId="13" fillId="0" borderId="0"/>
    <xf numFmtId="168" fontId="45" fillId="0" borderId="0"/>
    <xf numFmtId="176" fontId="53" fillId="0" borderId="0"/>
    <xf numFmtId="175" fontId="11" fillId="0" borderId="0"/>
    <xf numFmtId="168" fontId="10" fillId="0" borderId="0"/>
    <xf numFmtId="175" fontId="11" fillId="0" borderId="0"/>
    <xf numFmtId="175" fontId="13" fillId="0" borderId="0"/>
    <xf numFmtId="168" fontId="45" fillId="0" borderId="0"/>
    <xf numFmtId="176" fontId="53" fillId="0" borderId="0"/>
    <xf numFmtId="175" fontId="13" fillId="0" borderId="0"/>
    <xf numFmtId="168" fontId="45" fillId="0" borderId="0"/>
    <xf numFmtId="175" fontId="13" fillId="0" borderId="0"/>
    <xf numFmtId="168" fontId="45" fillId="0" borderId="0"/>
    <xf numFmtId="175" fontId="11" fillId="0" borderId="0"/>
    <xf numFmtId="175" fontId="13" fillId="0" borderId="0"/>
    <xf numFmtId="168" fontId="45" fillId="0" borderId="0"/>
    <xf numFmtId="175" fontId="11" fillId="0" borderId="0"/>
    <xf numFmtId="175" fontId="11" fillId="0" borderId="0"/>
    <xf numFmtId="168" fontId="42" fillId="0" borderId="0"/>
    <xf numFmtId="175" fontId="11" fillId="0" borderId="0"/>
    <xf numFmtId="9" fontId="10" fillId="0" borderId="0"/>
    <xf numFmtId="9" fontId="11" fillId="0" borderId="0"/>
    <xf numFmtId="9" fontId="45" fillId="0" borderId="0"/>
    <xf numFmtId="9" fontId="11" fillId="0" borderId="0"/>
    <xf numFmtId="9" fontId="11" fillId="0" borderId="0"/>
    <xf numFmtId="9" fontId="47" fillId="0" borderId="0"/>
    <xf numFmtId="9" fontId="13" fillId="0" borderId="0"/>
    <xf numFmtId="9" fontId="45" fillId="0" borderId="0"/>
    <xf numFmtId="9" fontId="55" fillId="0" borderId="0"/>
    <xf numFmtId="9" fontId="11" fillId="0" borderId="0"/>
    <xf numFmtId="9" fontId="11" fillId="0" borderId="0"/>
    <xf numFmtId="9" fontId="11" fillId="0" borderId="0"/>
    <xf numFmtId="9" fontId="11" fillId="0" borderId="0"/>
    <xf numFmtId="9" fontId="11" fillId="0" borderId="0"/>
    <xf numFmtId="9" fontId="11" fillId="0" borderId="0"/>
    <xf numFmtId="9" fontId="11" fillId="0" borderId="0"/>
    <xf numFmtId="9" fontId="8" fillId="0" borderId="0"/>
    <xf numFmtId="9" fontId="11" fillId="0" borderId="0"/>
    <xf numFmtId="9" fontId="10" fillId="0" borderId="0"/>
    <xf numFmtId="9" fontId="11" fillId="0" borderId="0"/>
    <xf numFmtId="9" fontId="8" fillId="0" borderId="0"/>
    <xf numFmtId="9" fontId="11" fillId="0" borderId="0"/>
    <xf numFmtId="9" fontId="8" fillId="0" borderId="0"/>
    <xf numFmtId="9" fontId="42" fillId="0" borderId="0"/>
    <xf numFmtId="9" fontId="53" fillId="0" borderId="0"/>
    <xf numFmtId="9" fontId="11" fillId="0" borderId="0"/>
    <xf numFmtId="9" fontId="13" fillId="0" borderId="0"/>
    <xf numFmtId="9" fontId="53" fillId="0" borderId="0"/>
    <xf numFmtId="9" fontId="8" fillId="0" borderId="0"/>
    <xf numFmtId="0" fontId="5" fillId="0" borderId="0"/>
    <xf numFmtId="0" fontId="5" fillId="0" borderId="0"/>
    <xf numFmtId="0" fontId="7" fillId="0" borderId="0" applyAlignment="1">
      <alignment vertical="top"/>
    </xf>
    <xf numFmtId="0" fontId="7" fillId="0" borderId="0" applyAlignment="1">
      <alignment vertical="top"/>
    </xf>
    <xf numFmtId="0" fontId="7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top"/>
    </xf>
    <xf numFmtId="0" fontId="7" fillId="0" borderId="0" applyAlignment="1">
      <alignment vertical="top"/>
    </xf>
    <xf numFmtId="0" fontId="5" fillId="0" borderId="0"/>
    <xf numFmtId="0" fontId="5" fillId="0" borderId="0"/>
    <xf numFmtId="0" fontId="7" fillId="0" borderId="0" applyAlignment="1">
      <alignment vertical="top"/>
    </xf>
    <xf numFmtId="0" fontId="5" fillId="0" borderId="0"/>
    <xf numFmtId="0" fontId="12" fillId="0" borderId="0"/>
    <xf numFmtId="174" fontId="11" fillId="0" borderId="0"/>
    <xf numFmtId="174" fontId="11" fillId="0" borderId="0"/>
    <xf numFmtId="0" fontId="58" fillId="0" borderId="0"/>
    <xf numFmtId="168" fontId="11" fillId="0" borderId="0"/>
    <xf numFmtId="9" fontId="12" fillId="0" borderId="0"/>
    <xf numFmtId="168" fontId="12" fillId="0" borderId="0"/>
    <xf numFmtId="174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Alignment="1">
      <alignment vertical="top"/>
    </xf>
    <xf numFmtId="0" fontId="5" fillId="0" borderId="0"/>
    <xf numFmtId="0" fontId="5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1" fillId="0" borderId="0"/>
    <xf numFmtId="175" fontId="13" fillId="0" borderId="0"/>
    <xf numFmtId="175" fontId="11" fillId="0" borderId="0"/>
    <xf numFmtId="175" fontId="11" fillId="0" borderId="0"/>
    <xf numFmtId="175" fontId="13" fillId="0" borderId="0"/>
    <xf numFmtId="175" fontId="13" fillId="0" borderId="0"/>
    <xf numFmtId="175" fontId="13" fillId="0" borderId="0"/>
    <xf numFmtId="175" fontId="11" fillId="0" borderId="0"/>
    <xf numFmtId="175" fontId="13" fillId="0" borderId="0"/>
    <xf numFmtId="175" fontId="11" fillId="0" borderId="0"/>
    <xf numFmtId="175" fontId="11" fillId="0" borderId="0"/>
    <xf numFmtId="175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72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2" fontId="3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4" fillId="0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top"/>
    </xf>
    <xf numFmtId="4" fontId="17" fillId="0" borderId="6" applyAlignment="1" pivotButton="0" quotePrefix="0" xfId="0">
      <alignment horizontal="center" vertical="center"/>
    </xf>
    <xf numFmtId="4" fontId="17" fillId="0" borderId="40" applyAlignment="1" pivotButton="0" quotePrefix="0" xfId="0">
      <alignment horizontal="center" vertical="center"/>
    </xf>
    <xf numFmtId="4" fontId="17" fillId="0" borderId="31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2" fontId="14" fillId="0" borderId="17" applyAlignment="1" pivotButton="0" quotePrefix="0" xfId="0">
      <alignment horizontal="center" vertical="center"/>
    </xf>
    <xf numFmtId="1" fontId="14" fillId="0" borderId="19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1" fontId="14" fillId="0" borderId="18" applyAlignment="1" pivotButton="0" quotePrefix="0" xfId="0">
      <alignment horizontal="center" vertical="center"/>
    </xf>
    <xf numFmtId="4" fontId="14" fillId="0" borderId="25" applyAlignment="1" pivotButton="0" quotePrefix="0" xfId="0">
      <alignment horizontal="center" vertical="center" wrapText="1"/>
    </xf>
    <xf numFmtId="4" fontId="14" fillId="0" borderId="29" applyAlignment="1" pivotButton="0" quotePrefix="0" xfId="0">
      <alignment horizontal="center" vertical="center" wrapText="1"/>
    </xf>
    <xf numFmtId="1" fontId="14" fillId="0" borderId="25" applyAlignment="1" pivotButton="0" quotePrefix="0" xfId="0">
      <alignment horizontal="center" vertical="center" wrapText="1"/>
    </xf>
    <xf numFmtId="1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1" fontId="14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14" fillId="0" borderId="38" applyAlignment="1" pivotButton="0" quotePrefix="0" xfId="0">
      <alignment horizontal="center" vertical="center"/>
    </xf>
    <xf numFmtId="0" fontId="22" fillId="0" borderId="0" pivotButton="0" quotePrefix="0" xfId="0"/>
    <xf numFmtId="1" fontId="22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center"/>
    </xf>
    <xf numFmtId="0" fontId="22" fillId="0" borderId="0" pivotButton="0" quotePrefix="0" xfId="0"/>
    <xf numFmtId="4" fontId="14" fillId="0" borderId="22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 wrapText="1"/>
    </xf>
    <xf numFmtId="0" fontId="14" fillId="0" borderId="15" applyAlignment="1" pivotButton="0" quotePrefix="0" xfId="0">
      <alignment horizontal="right" vertical="center" wrapText="1"/>
    </xf>
    <xf numFmtId="14" fontId="14" fillId="0" borderId="8" applyAlignment="1" pivotButton="0" quotePrefix="0" xfId="0">
      <alignment horizontal="right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/>
    </xf>
    <xf numFmtId="0" fontId="22" fillId="0" borderId="1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1" applyAlignment="1" pivotButton="0" quotePrefix="0" xfId="0">
      <alignment horizontal="left" vertical="center"/>
    </xf>
    <xf numFmtId="0" fontId="14" fillId="0" borderId="37" applyAlignment="1" pivotButton="0" quotePrefix="0" xfId="0">
      <alignment vertical="center" wrapText="1"/>
    </xf>
    <xf numFmtId="2" fontId="14" fillId="0" borderId="24" applyAlignment="1" pivotButton="0" quotePrefix="0" xfId="0">
      <alignment vertical="center"/>
    </xf>
    <xf numFmtId="0" fontId="14" fillId="0" borderId="33" applyAlignment="1" pivotButton="0" quotePrefix="0" xfId="0">
      <alignment vertical="center" wrapText="1"/>
    </xf>
    <xf numFmtId="3" fontId="14" fillId="0" borderId="42" applyAlignment="1" pivotButton="0" quotePrefix="0" xfId="0">
      <alignment horizontal="center" vertical="center"/>
    </xf>
    <xf numFmtId="2" fontId="17" fillId="0" borderId="33" applyAlignment="1" pivotButton="0" quotePrefix="0" xfId="0">
      <alignment horizontal="center" vertical="center"/>
    </xf>
    <xf numFmtId="0" fontId="14" fillId="0" borderId="38" applyAlignment="1" pivotButton="0" quotePrefix="0" xfId="0">
      <alignment vertical="center" wrapText="1"/>
    </xf>
    <xf numFmtId="3" fontId="14" fillId="0" borderId="39" applyAlignment="1" pivotButton="0" quotePrefix="0" xfId="0">
      <alignment horizontal="center" vertical="center"/>
    </xf>
    <xf numFmtId="0" fontId="14" fillId="0" borderId="14" applyAlignment="1" pivotButton="0" quotePrefix="0" xfId="0">
      <alignment horizontal="left" vertical="center" wrapText="1"/>
    </xf>
    <xf numFmtId="2" fontId="14" fillId="0" borderId="43" applyAlignment="1" pivotButton="0" quotePrefix="0" xfId="0">
      <alignment horizontal="center" vertical="center"/>
    </xf>
    <xf numFmtId="2" fontId="17" fillId="0" borderId="3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2" fontId="14" fillId="0" borderId="2" applyAlignment="1" pivotButton="0" quotePrefix="0" xfId="0">
      <alignment vertical="center"/>
    </xf>
    <xf numFmtId="164" fontId="14" fillId="0" borderId="24" applyAlignment="1" pivotButton="0" quotePrefix="0" xfId="0">
      <alignment horizontal="center" vertical="center" wrapText="1"/>
    </xf>
    <xf numFmtId="2" fontId="14" fillId="0" borderId="23" applyAlignment="1" pivotButton="0" quotePrefix="0" xfId="0">
      <alignment vertical="center"/>
    </xf>
    <xf numFmtId="164" fontId="14" fillId="0" borderId="53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/>
    </xf>
    <xf numFmtId="0" fontId="14" fillId="0" borderId="43" applyAlignment="1" pivotButton="0" quotePrefix="0" xfId="0">
      <alignment vertical="center" wrapText="1"/>
    </xf>
    <xf numFmtId="2" fontId="14" fillId="0" borderId="37" applyAlignment="1" pivotButton="0" quotePrefix="0" xfId="0">
      <alignment horizontal="center" vertical="center"/>
    </xf>
    <xf numFmtId="14" fontId="17" fillId="0" borderId="0" applyAlignment="1" pivotButton="0" quotePrefix="0" xfId="0">
      <alignment horizontal="left" vertical="center" wrapText="1"/>
    </xf>
    <xf numFmtId="2" fontId="14" fillId="0" borderId="54" applyAlignment="1" pivotButton="0" quotePrefix="0" xfId="0">
      <alignment vertical="center"/>
    </xf>
    <xf numFmtId="2" fontId="14" fillId="0" borderId="1" applyAlignment="1" pivotButton="0" quotePrefix="0" xfId="0">
      <alignment vertical="center"/>
    </xf>
    <xf numFmtId="2" fontId="14" fillId="0" borderId="53" applyAlignment="1" pivotButton="0" quotePrefix="0" xfId="0">
      <alignment vertical="center"/>
    </xf>
    <xf numFmtId="3" fontId="14" fillId="0" borderId="54" applyAlignment="1" pivotButton="0" quotePrefix="0" xfId="0">
      <alignment vertical="center"/>
    </xf>
    <xf numFmtId="3" fontId="14" fillId="0" borderId="53" applyAlignment="1" pivotButton="0" quotePrefix="0" xfId="0">
      <alignment vertical="center"/>
    </xf>
    <xf numFmtId="3" fontId="14" fillId="0" borderId="55" applyAlignment="1" pivotButton="0" quotePrefix="0" xfId="0">
      <alignment horizontal="center" vertical="center"/>
    </xf>
    <xf numFmtId="3" fontId="14" fillId="0" borderId="56" applyAlignment="1" pivotButton="0" quotePrefix="0" xfId="0">
      <alignment horizontal="center" vertical="center"/>
    </xf>
    <xf numFmtId="2" fontId="14" fillId="0" borderId="5" applyAlignment="1" pivotButton="0" quotePrefix="0" xfId="0">
      <alignment horizontal="center" vertical="center"/>
    </xf>
    <xf numFmtId="3" fontId="14" fillId="0" borderId="37" applyAlignment="1" pivotButton="0" quotePrefix="0" xfId="0">
      <alignment horizontal="center" vertical="center"/>
    </xf>
    <xf numFmtId="3" fontId="14" fillId="34" borderId="54" applyAlignment="1" pivotButton="0" quotePrefix="0" xfId="0">
      <alignment vertical="center"/>
    </xf>
    <xf numFmtId="0" fontId="14" fillId="0" borderId="59" applyAlignment="1" pivotButton="0" quotePrefix="0" xfId="0">
      <alignment horizontal="center" vertical="center" wrapText="1"/>
    </xf>
    <xf numFmtId="0" fontId="14" fillId="0" borderId="27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center" vertical="center"/>
    </xf>
    <xf numFmtId="1" fontId="14" fillId="0" borderId="60" applyAlignment="1" pivotButton="0" quotePrefix="0" xfId="0">
      <alignment horizontal="center" vertical="center" wrapText="1"/>
    </xf>
    <xf numFmtId="3" fontId="14" fillId="34" borderId="35" applyAlignment="1" pivotButton="0" quotePrefix="0" xfId="0">
      <alignment horizontal="center" vertical="center"/>
    </xf>
    <xf numFmtId="3" fontId="14" fillId="0" borderId="35" applyAlignment="1" pivotButton="0" quotePrefix="0" xfId="0">
      <alignment horizontal="center" vertical="center"/>
    </xf>
    <xf numFmtId="2" fontId="14" fillId="34" borderId="62" applyAlignment="1" pivotButton="0" quotePrefix="0" xfId="0">
      <alignment horizontal="center" vertical="center"/>
    </xf>
    <xf numFmtId="3" fontId="14" fillId="0" borderId="24" applyAlignment="1" pivotButton="0" quotePrefix="0" xfId="0">
      <alignment vertical="center"/>
    </xf>
    <xf numFmtId="3" fontId="14" fillId="34" borderId="57" applyAlignment="1" pivotButton="0" quotePrefix="0" xfId="0">
      <alignment horizontal="center" vertical="center"/>
    </xf>
    <xf numFmtId="2" fontId="14" fillId="34" borderId="37" applyAlignment="1" pivotButton="0" quotePrefix="0" xfId="0">
      <alignment horizontal="center" vertical="center"/>
    </xf>
    <xf numFmtId="2" fontId="14" fillId="0" borderId="2" applyAlignment="1" pivotButton="0" quotePrefix="0" xfId="0">
      <alignment vertical="center" wrapText="1"/>
    </xf>
    <xf numFmtId="2" fontId="14" fillId="0" borderId="24" applyAlignment="1" pivotButton="0" quotePrefix="0" xfId="0">
      <alignment vertical="center" wrapText="1"/>
    </xf>
    <xf numFmtId="0" fontId="14" fillId="0" borderId="4" applyAlignment="1" pivotButton="0" quotePrefix="0" xfId="0">
      <alignment horizontal="center" vertical="top"/>
    </xf>
    <xf numFmtId="2" fontId="14" fillId="0" borderId="2" applyAlignment="1" pivotButton="0" quotePrefix="0" xfId="0">
      <alignment horizontal="left" vertical="center" wrapText="1" indent="1"/>
    </xf>
    <xf numFmtId="2" fontId="14" fillId="0" borderId="24" applyAlignment="1" pivotButton="0" quotePrefix="0" xfId="0">
      <alignment horizontal="left" vertical="center" wrapText="1" indent="1"/>
    </xf>
    <xf numFmtId="0" fontId="14" fillId="0" borderId="11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2" fontId="14" fillId="0" borderId="2" applyAlignment="1" pivotButton="0" quotePrefix="0" xfId="0">
      <alignment horizontal="left" vertical="center"/>
    </xf>
    <xf numFmtId="2" fontId="14" fillId="0" borderId="61" applyAlignment="1" pivotButton="0" quotePrefix="0" xfId="0">
      <alignment horizontal="center" vertical="center"/>
    </xf>
    <xf numFmtId="0" fontId="14" fillId="0" borderId="63" applyAlignment="1" pivotButton="0" quotePrefix="0" xfId="0">
      <alignment horizontal="center" vertical="center"/>
    </xf>
    <xf numFmtId="4" fontId="14" fillId="0" borderId="64" applyAlignment="1" pivotButton="0" quotePrefix="0" xfId="0">
      <alignment horizontal="center" vertical="center"/>
    </xf>
    <xf numFmtId="4" fontId="14" fillId="0" borderId="26" applyAlignment="1" pivotButton="0" quotePrefix="0" xfId="0">
      <alignment horizontal="center" vertical="center" wrapText="1"/>
    </xf>
    <xf numFmtId="4" fontId="14" fillId="0" borderId="28" applyAlignment="1" pivotButton="0" quotePrefix="0" xfId="0">
      <alignment horizontal="center" vertical="center" wrapText="1"/>
    </xf>
    <xf numFmtId="2" fontId="14" fillId="0" borderId="23" applyAlignment="1" pivotButton="0" quotePrefix="0" xfId="0">
      <alignment horizontal="left" vertical="center" wrapText="1" indent="1"/>
    </xf>
    <xf numFmtId="3" fontId="14" fillId="0" borderId="65" applyAlignment="1" pivotButton="0" quotePrefix="0" xfId="0">
      <alignment horizontal="center" vertical="center"/>
    </xf>
    <xf numFmtId="3" fontId="14" fillId="0" borderId="58" applyAlignment="1" pivotButton="0" quotePrefix="0" xfId="0">
      <alignment horizontal="center" vertical="center"/>
    </xf>
    <xf numFmtId="3" fontId="14" fillId="0" borderId="57" applyAlignment="1" pivotButton="0" quotePrefix="0" xfId="0">
      <alignment horizontal="center" vertical="center"/>
    </xf>
    <xf numFmtId="3" fontId="14" fillId="34" borderId="56" applyAlignment="1" pivotButton="0" quotePrefix="0" xfId="0">
      <alignment horizontal="center" vertical="center"/>
    </xf>
    <xf numFmtId="3" fontId="14" fillId="34" borderId="55" applyAlignment="1" pivotButton="0" quotePrefix="0" xfId="0">
      <alignment horizontal="center" vertical="center"/>
    </xf>
    <xf numFmtId="2" fontId="14" fillId="0" borderId="23" applyAlignment="1" pivotButton="0" quotePrefix="0" xfId="0">
      <alignment vertical="center"/>
    </xf>
    <xf numFmtId="4" fontId="3" fillId="0" borderId="0" pivotButton="0" quotePrefix="0" xfId="0"/>
    <xf numFmtId="3" fontId="14" fillId="35" borderId="42" applyAlignment="1" pivotButton="0" quotePrefix="0" xfId="0">
      <alignment horizontal="center" vertical="center"/>
    </xf>
    <xf numFmtId="3" fontId="14" fillId="35" borderId="39" applyAlignment="1" pivotButton="0" quotePrefix="0" xfId="0">
      <alignment horizontal="center" vertical="center"/>
    </xf>
    <xf numFmtId="3" fontId="14" fillId="35" borderId="35" applyAlignment="1" pivotButton="0" quotePrefix="0" xfId="0">
      <alignment horizontal="center" vertical="center"/>
    </xf>
    <xf numFmtId="2" fontId="14" fillId="35" borderId="57" applyAlignment="1" pivotButton="0" quotePrefix="0" xfId="0">
      <alignment horizontal="center" vertical="center"/>
    </xf>
    <xf numFmtId="2" fontId="14" fillId="35" borderId="43" applyAlignment="1" pivotButton="0" quotePrefix="0" xfId="0">
      <alignment horizontal="center" vertical="center"/>
    </xf>
    <xf numFmtId="3" fontId="14" fillId="35" borderId="54" applyAlignment="1" pivotButton="0" quotePrefix="0" xfId="0">
      <alignment vertical="center"/>
    </xf>
    <xf numFmtId="3" fontId="14" fillId="35" borderId="53" applyAlignment="1" pivotButton="0" quotePrefix="0" xfId="0">
      <alignment vertical="center"/>
    </xf>
    <xf numFmtId="3" fontId="14" fillId="35" borderId="24" applyAlignment="1" pivotButton="0" quotePrefix="0" xfId="0">
      <alignment vertical="center"/>
    </xf>
    <xf numFmtId="3" fontId="14" fillId="35" borderId="57" applyAlignment="1" pivotButton="0" quotePrefix="0" xfId="0">
      <alignment horizontal="center" vertical="center"/>
    </xf>
    <xf numFmtId="0" fontId="21" fillId="35" borderId="0" applyAlignment="1" pivotButton="0" quotePrefix="0" xfId="0">
      <alignment horizontal="center" vertical="center"/>
    </xf>
    <xf numFmtId="0" fontId="22" fillId="35" borderId="0" applyAlignment="1" pivotButton="0" quotePrefix="0" xfId="0">
      <alignment horizontal="center" vertical="center"/>
    </xf>
    <xf numFmtId="0" fontId="22" fillId="35" borderId="0" pivotButton="0" quotePrefix="0" xfId="0"/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left" vertical="top" wrapText="1"/>
    </xf>
    <xf numFmtId="0" fontId="14" fillId="0" borderId="11" applyAlignment="1" pivotButton="0" quotePrefix="0" xfId="0">
      <alignment horizontal="left" vertical="top"/>
    </xf>
    <xf numFmtId="0" fontId="16" fillId="0" borderId="2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2" fontId="14" fillId="0" borderId="26" applyAlignment="1" pivotButton="0" quotePrefix="0" xfId="0">
      <alignment horizontal="center" vertical="center" wrapText="1"/>
    </xf>
    <xf numFmtId="2" fontId="14" fillId="0" borderId="30" applyAlignment="1" pivotButton="0" quotePrefix="0" xfId="0">
      <alignment horizontal="center" vertical="center" wrapText="1"/>
    </xf>
    <xf numFmtId="2" fontId="14" fillId="0" borderId="28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left" vertical="top" wrapText="1"/>
    </xf>
    <xf numFmtId="0" fontId="14" fillId="0" borderId="9" applyAlignment="1" pivotButton="0" quotePrefix="0" xfId="0">
      <alignment horizontal="left" vertical="top"/>
    </xf>
    <xf numFmtId="0" fontId="14" fillId="0" borderId="20" applyAlignment="1" pivotButton="0" quotePrefix="0" xfId="0">
      <alignment horizontal="center" vertical="top" wrapText="1"/>
    </xf>
    <xf numFmtId="0" fontId="14" fillId="0" borderId="10" applyAlignment="1" pivotButton="0" quotePrefix="0" xfId="0">
      <alignment horizontal="center" vertical="top" wrapText="1"/>
    </xf>
    <xf numFmtId="0" fontId="14" fillId="0" borderId="11" applyAlignment="1" pivotButton="0" quotePrefix="0" xfId="0">
      <alignment horizontal="center" vertical="top" wrapText="1"/>
    </xf>
    <xf numFmtId="0" fontId="14" fillId="0" borderId="14" applyAlignment="1" pivotButton="0" quotePrefix="0" xfId="0">
      <alignment horizontal="center" vertical="top" wrapText="1"/>
    </xf>
    <xf numFmtId="0" fontId="14" fillId="0" borderId="6" applyAlignment="1" pivotButton="0" quotePrefix="0" xfId="0">
      <alignment horizontal="center" vertical="top" wrapText="1"/>
    </xf>
    <xf numFmtId="0" fontId="14" fillId="0" borderId="7" applyAlignment="1" pivotButton="0" quotePrefix="0" xfId="0">
      <alignment horizontal="center" vertical="top" wrapText="1"/>
    </xf>
    <xf numFmtId="2" fontId="14" fillId="34" borderId="23" applyAlignment="1" pivotButton="0" quotePrefix="0" xfId="0">
      <alignment horizontal="left" vertical="center" wrapText="1"/>
    </xf>
    <xf numFmtId="2" fontId="14" fillId="34" borderId="2" applyAlignment="1" pivotButton="0" quotePrefix="0" xfId="0">
      <alignment horizontal="left" vertical="center" wrapText="1"/>
    </xf>
    <xf numFmtId="3" fontId="14" fillId="35" borderId="16" applyAlignment="1" pivotButton="0" quotePrefix="0" xfId="0">
      <alignment horizontal="center" vertical="center"/>
    </xf>
    <xf numFmtId="3" fontId="14" fillId="35" borderId="17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top"/>
    </xf>
    <xf numFmtId="0" fontId="14" fillId="0" borderId="4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top"/>
    </xf>
    <xf numFmtId="0" fontId="14" fillId="0" borderId="14" applyAlignment="1" pivotButton="0" quotePrefix="0" xfId="0">
      <alignment horizontal="left" vertical="top" wrapText="1"/>
    </xf>
    <xf numFmtId="0" fontId="14" fillId="0" borderId="6" applyAlignment="1" pivotButton="0" quotePrefix="0" xfId="0">
      <alignment horizontal="left" vertical="top" wrapText="1"/>
    </xf>
    <xf numFmtId="0" fontId="14" fillId="0" borderId="27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4" fillId="0" borderId="9" applyAlignment="1" pivotButton="0" quotePrefix="0" xfId="0">
      <alignment horizontal="left" vertical="top" wrapText="1"/>
    </xf>
    <xf numFmtId="0" fontId="17" fillId="0" borderId="14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 wrapText="1"/>
    </xf>
    <xf numFmtId="0" fontId="17" fillId="0" borderId="27" applyAlignment="1" pivotButton="0" quotePrefix="0" xfId="0">
      <alignment horizontal="center" vertical="top" wrapText="1"/>
    </xf>
    <xf numFmtId="0" fontId="17" fillId="0" borderId="13" applyAlignment="1" pivotButton="0" quotePrefix="0" xfId="0">
      <alignment horizontal="center" vertical="top" wrapText="1"/>
    </xf>
    <xf numFmtId="0" fontId="17" fillId="0" borderId="15" applyAlignment="1" pivotButton="0" quotePrefix="0" xfId="0">
      <alignment horizontal="center" vertical="top" wrapText="1"/>
    </xf>
    <xf numFmtId="0" fontId="17" fillId="0" borderId="9" applyAlignment="1" pivotButton="0" quotePrefix="0" xfId="0">
      <alignment horizontal="center" vertical="top" wrapText="1"/>
    </xf>
    <xf numFmtId="2" fontId="14" fillId="34" borderId="23" applyAlignment="1" pivotButton="0" quotePrefix="0" xfId="0">
      <alignment vertical="center" wrapText="1"/>
    </xf>
    <xf numFmtId="2" fontId="14" fillId="34" borderId="2" applyAlignment="1" pivotButton="0" quotePrefix="0" xfId="0">
      <alignment vertical="center" wrapText="1"/>
    </xf>
    <xf numFmtId="2" fontId="14" fillId="34" borderId="24" applyAlignment="1" pivotButton="0" quotePrefix="0" xfId="0">
      <alignment vertical="center" wrapText="1"/>
    </xf>
    <xf numFmtId="2" fontId="14" fillId="0" borderId="23" applyAlignment="1" pivotButton="0" quotePrefix="0" xfId="0">
      <alignment horizontal="left" vertical="center" wrapText="1" indent="1"/>
    </xf>
    <xf numFmtId="2" fontId="14" fillId="0" borderId="2" applyAlignment="1" pivotButton="0" quotePrefix="0" xfId="0">
      <alignment horizontal="left" vertical="center" wrapText="1" indent="1"/>
    </xf>
    <xf numFmtId="2" fontId="14" fillId="0" borderId="24" applyAlignment="1" pivotButton="0" quotePrefix="0" xfId="0">
      <alignment horizontal="left" vertical="center" wrapText="1" indent="1"/>
    </xf>
    <xf numFmtId="0" fontId="17" fillId="0" borderId="6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2" fontId="14" fillId="0" borderId="23" applyAlignment="1" pivotButton="0" quotePrefix="0" xfId="0">
      <alignment vertical="center" wrapText="1"/>
    </xf>
    <xf numFmtId="2" fontId="14" fillId="0" borderId="2" applyAlignment="1" pivotButton="0" quotePrefix="0" xfId="0">
      <alignment vertical="center" wrapText="1"/>
    </xf>
    <xf numFmtId="2" fontId="14" fillId="0" borderId="24" applyAlignment="1" pivotButton="0" quotePrefix="0" xfId="0">
      <alignment vertical="center" wrapText="1"/>
    </xf>
    <xf numFmtId="2" fontId="14" fillId="34" borderId="16" applyAlignment="1" pivotButton="0" quotePrefix="0" xfId="0">
      <alignment vertical="center"/>
    </xf>
    <xf numFmtId="2" fontId="14" fillId="34" borderId="12" applyAlignment="1" pivotButton="0" quotePrefix="0" xfId="0">
      <alignment vertical="center"/>
    </xf>
    <xf numFmtId="2" fontId="14" fillId="34" borderId="17" applyAlignment="1" pivotButton="0" quotePrefix="0" xfId="0">
      <alignment vertical="center"/>
    </xf>
    <xf numFmtId="2" fontId="14" fillId="0" borderId="23" applyAlignment="1" pivotButton="0" quotePrefix="0" xfId="0">
      <alignment vertical="center"/>
    </xf>
    <xf numFmtId="2" fontId="14" fillId="0" borderId="2" applyAlignment="1" pivotButton="0" quotePrefix="0" xfId="0">
      <alignment vertical="center"/>
    </xf>
    <xf numFmtId="2" fontId="14" fillId="0" borderId="24" applyAlignment="1" pivotButton="0" quotePrefix="0" xfId="0">
      <alignment vertical="center"/>
    </xf>
    <xf numFmtId="2" fontId="14" fillId="0" borderId="23" applyAlignment="1" pivotButton="0" quotePrefix="0" xfId="0">
      <alignment vertical="center"/>
    </xf>
    <xf numFmtId="2" fontId="14" fillId="0" borderId="2" applyAlignment="1" pivotButton="0" quotePrefix="0" xfId="0">
      <alignment vertical="center"/>
    </xf>
    <xf numFmtId="2" fontId="14" fillId="0" borderId="24" applyAlignment="1" pivotButton="0" quotePrefix="0" xfId="0">
      <alignment vertical="center"/>
    </xf>
    <xf numFmtId="2" fontId="14" fillId="34" borderId="23" applyAlignment="1" pivotButton="0" quotePrefix="0" xfId="0">
      <alignment horizontal="center" vertical="center" wrapText="1"/>
    </xf>
    <xf numFmtId="2" fontId="14" fillId="34" borderId="2" applyAlignment="1" pivotButton="0" quotePrefix="0" xfId="0">
      <alignment horizontal="center" vertical="center" wrapText="1"/>
    </xf>
    <xf numFmtId="0" fontId="14" fillId="34" borderId="27" applyAlignment="1" pivotButton="0" quotePrefix="0" xfId="0">
      <alignment horizontal="left" vertical="top" wrapText="1" indent="1"/>
    </xf>
    <xf numFmtId="0" fontId="14" fillId="34" borderId="0" applyAlignment="1" pivotButton="0" quotePrefix="0" xfId="0">
      <alignment horizontal="left" vertical="top" wrapText="1" indent="1"/>
    </xf>
    <xf numFmtId="0" fontId="14" fillId="34" borderId="13" applyAlignment="1" pivotButton="0" quotePrefix="0" xfId="0">
      <alignment horizontal="left" vertical="top" wrapText="1" indent="1"/>
    </xf>
    <xf numFmtId="0" fontId="14" fillId="34" borderId="23" applyAlignment="1" pivotButton="0" quotePrefix="0" xfId="0">
      <alignment horizontal="left" vertical="top" wrapText="1" indent="1"/>
    </xf>
    <xf numFmtId="0" fontId="14" fillId="34" borderId="2" applyAlignment="1" pivotButton="0" quotePrefix="0" xfId="0">
      <alignment horizontal="left" vertical="top" wrapText="1" indent="1"/>
    </xf>
    <xf numFmtId="0" fontId="14" fillId="34" borderId="24" applyAlignment="1" pivotButton="0" quotePrefix="0" xfId="0">
      <alignment horizontal="left" vertical="top" wrapText="1" indent="1"/>
    </xf>
    <xf numFmtId="2" fontId="14" fillId="0" borderId="23" applyAlignment="1" pivotButton="0" quotePrefix="0" xfId="0">
      <alignment horizontal="center" vertical="center" wrapText="1"/>
    </xf>
    <xf numFmtId="2" fontId="14" fillId="0" borderId="2" applyAlignment="1" pivotButton="0" quotePrefix="0" xfId="0">
      <alignment horizontal="center" vertical="center" wrapText="1"/>
    </xf>
    <xf numFmtId="0" fontId="14" fillId="0" borderId="58" applyAlignment="1" pivotButton="0" quotePrefix="0" xfId="0">
      <alignment horizontal="left" vertical="top" wrapText="1" indent="1"/>
    </xf>
    <xf numFmtId="0" fontId="14" fillId="0" borderId="57" applyAlignment="1" pivotButton="0" quotePrefix="0" xfId="0">
      <alignment horizontal="left" vertical="top" wrapText="1" indent="1"/>
    </xf>
    <xf numFmtId="0" fontId="14" fillId="0" borderId="35" applyAlignment="1" pivotButton="0" quotePrefix="0" xfId="0">
      <alignment horizontal="left" vertical="top" wrapText="1" indent="1"/>
    </xf>
    <xf numFmtId="0" fontId="14" fillId="0" borderId="5" applyAlignment="1" pivotButton="0" quotePrefix="0" xfId="0">
      <alignment horizontal="center" vertical="top"/>
    </xf>
    <xf numFmtId="0" fontId="14" fillId="0" borderId="7" applyAlignment="1" pivotButton="0" quotePrefix="0" xfId="0">
      <alignment horizontal="left" vertical="top" wrapText="1"/>
    </xf>
    <xf numFmtId="0" fontId="14" fillId="0" borderId="13" applyAlignment="1" pivotButton="0" quotePrefix="0" xfId="0">
      <alignment horizontal="left" vertical="top" wrapText="1"/>
    </xf>
    <xf numFmtId="0" fontId="17" fillId="0" borderId="6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2" fontId="14" fillId="34" borderId="24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left" vertical="top" wrapText="1"/>
    </xf>
    <xf numFmtId="0" fontId="2" fillId="0" borderId="16" applyAlignment="1" pivotButton="0" quotePrefix="0" xfId="0">
      <alignment horizontal="left" vertical="center" indent="1"/>
    </xf>
    <xf numFmtId="0" fontId="2" fillId="0" borderId="12" applyAlignment="1" pivotButton="0" quotePrefix="0" xfId="0">
      <alignment horizontal="left" vertical="center" indent="1"/>
    </xf>
    <xf numFmtId="0" fontId="17" fillId="0" borderId="12" applyAlignment="1" pivotButton="0" quotePrefix="0" xfId="0">
      <alignment horizontal="left" vertical="center"/>
    </xf>
    <xf numFmtId="0" fontId="17" fillId="0" borderId="17" applyAlignment="1" pivotButton="0" quotePrefix="0" xfId="0">
      <alignment horizontal="left" vertical="center"/>
    </xf>
    <xf numFmtId="0" fontId="17" fillId="0" borderId="8" applyAlignment="1" pivotButton="0" quotePrefix="0" xfId="0">
      <alignment horizontal="center" vertical="top" wrapText="1"/>
    </xf>
    <xf numFmtId="0" fontId="20" fillId="0" borderId="41" applyAlignment="1" pivotButton="0" quotePrefix="0" xfId="0">
      <alignment horizontal="left" vertical="center" indent="1"/>
    </xf>
    <xf numFmtId="0" fontId="20" fillId="0" borderId="40" applyAlignment="1" pivotButton="0" quotePrefix="0" xfId="0">
      <alignment horizontal="left" vertical="center" indent="1"/>
    </xf>
    <xf numFmtId="0" fontId="17" fillId="0" borderId="2" applyAlignment="1" pivotButton="0" quotePrefix="0" xfId="0">
      <alignment horizontal="left" vertical="center" wrapText="1"/>
    </xf>
    <xf numFmtId="0" fontId="17" fillId="0" borderId="24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 indent="1"/>
    </xf>
    <xf numFmtId="0" fontId="2" fillId="0" borderId="31" applyAlignment="1" pivotButton="0" quotePrefix="0" xfId="0">
      <alignment horizontal="left" vertical="center" wrapText="1" indent="1"/>
    </xf>
    <xf numFmtId="0" fontId="17" fillId="0" borderId="31" applyAlignment="1" pivotButton="0" quotePrefix="0" xfId="0">
      <alignment horizontal="left" vertical="center" wrapText="1"/>
    </xf>
    <xf numFmtId="0" fontId="17" fillId="0" borderId="22" applyAlignment="1" pivotButton="0" quotePrefix="0" xfId="0">
      <alignment horizontal="left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 wrapText="1"/>
    </xf>
    <xf numFmtId="165" fontId="17" fillId="0" borderId="32" applyAlignment="1" pivotButton="0" quotePrefix="0" xfId="0">
      <alignment horizontal="center" vertical="center"/>
    </xf>
    <xf numFmtId="165" fontId="19" fillId="0" borderId="11" applyAlignment="1" pivotButton="0" quotePrefix="0" xfId="0">
      <alignment horizontal="center" vertical="center"/>
    </xf>
    <xf numFmtId="0" fontId="14" fillId="0" borderId="14" applyAlignment="1" pivotButton="0" quotePrefix="0" xfId="0">
      <alignment horizontal="left" vertical="center" wrapText="1" indent="18"/>
    </xf>
    <xf numFmtId="0" fontId="14" fillId="0" borderId="6" applyAlignment="1" pivotButton="0" quotePrefix="0" xfId="0">
      <alignment horizontal="left" vertical="center" wrapText="1" indent="18"/>
    </xf>
    <xf numFmtId="0" fontId="14" fillId="0" borderId="7" applyAlignment="1" pivotButton="0" quotePrefix="0" xfId="0">
      <alignment horizontal="left" vertical="center" wrapText="1" indent="18"/>
    </xf>
    <xf numFmtId="2" fontId="14" fillId="0" borderId="14" applyAlignment="1" pivotButton="0" quotePrefix="0" xfId="0">
      <alignment horizontal="center" vertical="center"/>
    </xf>
    <xf numFmtId="2" fontId="14" fillId="0" borderId="6" applyAlignment="1" pivotButton="0" quotePrefix="0" xfId="0">
      <alignment horizontal="center" vertical="center"/>
    </xf>
    <xf numFmtId="2" fontId="14" fillId="0" borderId="7" applyAlignment="1" pivotButton="0" quotePrefix="0" xfId="0">
      <alignment horizontal="center" vertical="center"/>
    </xf>
    <xf numFmtId="2" fontId="14" fillId="0" borderId="54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2" fontId="14" fillId="0" borderId="53" applyAlignment="1" pivotButton="0" quotePrefix="0" xfId="0">
      <alignment horizontal="center" vertical="center"/>
    </xf>
    <xf numFmtId="2" fontId="14" fillId="34" borderId="14" applyAlignment="1" pivotButton="0" quotePrefix="0" xfId="0">
      <alignment horizontal="center" vertical="center" wrapText="1"/>
    </xf>
    <xf numFmtId="2" fontId="14" fillId="34" borderId="6" applyAlignment="1" pivotButton="0" quotePrefix="0" xfId="0">
      <alignment horizontal="center" vertical="center" wrapText="1"/>
    </xf>
    <xf numFmtId="2" fontId="14" fillId="34" borderId="7" applyAlignment="1" pivotButton="0" quotePrefix="0" xfId="0">
      <alignment horizontal="center" vertical="center" wrapText="1"/>
    </xf>
    <xf numFmtId="2" fontId="14" fillId="34" borderId="54" applyAlignment="1" pivotButton="0" quotePrefix="0" xfId="0">
      <alignment horizontal="center" vertical="center" wrapText="1"/>
    </xf>
    <xf numFmtId="2" fontId="14" fillId="34" borderId="1" applyAlignment="1" pivotButton="0" quotePrefix="0" xfId="0">
      <alignment horizontal="center" vertical="center" wrapText="1"/>
    </xf>
    <xf numFmtId="2" fontId="14" fillId="34" borderId="53" applyAlignment="1" pivotButton="0" quotePrefix="0" xfId="0">
      <alignment horizontal="center" vertical="center" wrapText="1"/>
    </xf>
    <xf numFmtId="0" fontId="14" fillId="34" borderId="14" applyAlignment="1" pivotButton="0" quotePrefix="0" xfId="0">
      <alignment horizontal="center" vertical="top" wrapText="1"/>
    </xf>
    <xf numFmtId="0" fontId="14" fillId="34" borderId="6" applyAlignment="1" pivotButton="0" quotePrefix="0" xfId="0">
      <alignment horizontal="center" vertical="top" wrapText="1"/>
    </xf>
    <xf numFmtId="0" fontId="14" fillId="34" borderId="7" applyAlignment="1" pivotButton="0" quotePrefix="0" xfId="0">
      <alignment horizontal="center" vertical="top" wrapText="1"/>
    </xf>
    <xf numFmtId="0" fontId="14" fillId="34" borderId="54" applyAlignment="1" pivotButton="0" quotePrefix="0" xfId="0">
      <alignment horizontal="center" vertical="top" wrapText="1"/>
    </xf>
    <xf numFmtId="0" fontId="14" fillId="34" borderId="1" applyAlignment="1" pivotButton="0" quotePrefix="0" xfId="0">
      <alignment horizontal="center" vertical="top" wrapText="1"/>
    </xf>
    <xf numFmtId="0" fontId="14" fillId="34" borderId="53" applyAlignment="1" pivotButton="0" quotePrefix="0" xfId="0">
      <alignment horizontal="center" vertical="top" wrapText="1"/>
    </xf>
    <xf numFmtId="0" fontId="14" fillId="0" borderId="15" applyAlignment="1" pivotButton="0" quotePrefix="0" xfId="0">
      <alignment horizontal="left" vertical="top" wrapText="1" indent="1"/>
    </xf>
    <xf numFmtId="0" fontId="14" fillId="0" borderId="8" applyAlignment="1" pivotButton="0" quotePrefix="0" xfId="0">
      <alignment horizontal="left" vertical="top" wrapText="1" indent="1"/>
    </xf>
    <xf numFmtId="0" fontId="14" fillId="0" borderId="9" applyAlignment="1" pivotButton="0" quotePrefix="0" xfId="0">
      <alignment horizontal="left" vertical="top" wrapText="1" indent="1"/>
    </xf>
    <xf numFmtId="0" fontId="19" fillId="0" borderId="11" applyAlignment="1" pivotButton="0" quotePrefix="0" xfId="0">
      <alignment horizontal="center" vertical="center"/>
    </xf>
    <xf numFmtId="3" fontId="14" fillId="0" borderId="6" applyAlignment="1" pivotButton="0" quotePrefix="0" xfId="0">
      <alignment horizontal="center" vertical="center"/>
    </xf>
    <xf numFmtId="3" fontId="14" fillId="0" borderId="7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top"/>
    </xf>
    <xf numFmtId="0" fontId="18" fillId="0" borderId="10" applyAlignment="1" pivotButton="0" quotePrefix="0" xfId="0">
      <alignment horizontal="center" vertical="top"/>
    </xf>
    <xf numFmtId="0" fontId="18" fillId="0" borderId="2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165" fontId="17" fillId="0" borderId="10" applyAlignment="1" pivotButton="0" quotePrefix="0" xfId="0">
      <alignment horizontal="center" vertical="center"/>
    </xf>
    <xf numFmtId="0" fontId="23" fillId="35" borderId="0" applyAlignment="1" pivotButton="0" quotePrefix="0" xfId="0">
      <alignment horizontal="center" vertical="center"/>
    </xf>
    <xf numFmtId="0" fontId="21" fillId="35" borderId="0" applyAlignment="1" pivotButton="0" quotePrefix="0" xfId="0">
      <alignment horizontal="left" vertical="center"/>
    </xf>
    <xf numFmtId="0" fontId="22" fillId="35" borderId="0" applyAlignment="1" pivotButton="0" quotePrefix="0" xfId="0">
      <alignment horizontal="left" vertical="center"/>
    </xf>
    <xf numFmtId="14" fontId="22" fillId="35" borderId="1" applyAlignment="1" pivotButton="0" quotePrefix="0" xfId="0">
      <alignment vertical="center"/>
    </xf>
    <xf numFmtId="166" fontId="23" fillId="35" borderId="1" applyAlignment="1" pivotButton="0" quotePrefix="0" xfId="2">
      <alignment horizontal="right" vertical="center"/>
    </xf>
    <xf numFmtId="164" fontId="14" fillId="35" borderId="36" applyAlignment="1" pivotButton="0" quotePrefix="0" xfId="0">
      <alignment horizontal="center" vertical="center" wrapText="1"/>
    </xf>
    <xf numFmtId="164" fontId="14" fillId="35" borderId="37" applyAlignment="1" pivotButton="0" quotePrefix="0" xfId="0">
      <alignment horizontal="center" vertical="center" wrapText="1"/>
    </xf>
    <xf numFmtId="4" fontId="14" fillId="35" borderId="22" applyAlignment="1" pivotButton="0" quotePrefix="0" xfId="0">
      <alignment horizontal="center" vertical="center"/>
    </xf>
    <xf numFmtId="0" fontId="14" fillId="35" borderId="0" pivotButton="0" quotePrefix="0" xfId="0"/>
    <xf numFmtId="177" fontId="22" fillId="35" borderId="1" applyAlignment="1" pivotButton="0" quotePrefix="0" xfId="0">
      <alignment vertical="center"/>
    </xf>
    <xf numFmtId="0" fontId="0" fillId="0" borderId="1" pivotButton="0" quotePrefix="0" xfId="0"/>
    <xf numFmtId="0" fontId="14" fillId="0" borderId="3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14" fillId="0" borderId="3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3" pivotButton="0" quotePrefix="0" xfId="0"/>
    <xf numFmtId="0" fontId="14" fillId="0" borderId="3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0" pivotButton="0" quotePrefix="0" xfId="0"/>
    <xf numFmtId="0" fontId="16" fillId="0" borderId="33" applyAlignment="1" pivotButton="0" quotePrefix="0" xfId="0">
      <alignment horizontal="center" vertical="center" wrapText="1"/>
    </xf>
    <xf numFmtId="3" fontId="14" fillId="35" borderId="36" applyAlignment="1" pivotButton="0" quotePrefix="0" xfId="0">
      <alignment horizontal="center" vertical="center"/>
    </xf>
    <xf numFmtId="2" fontId="14" fillId="34" borderId="36" applyAlignment="1" pivotButton="0" quotePrefix="0" xfId="0">
      <alignment vertical="center"/>
    </xf>
    <xf numFmtId="0" fontId="17" fillId="0" borderId="33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27" pivotButton="0" quotePrefix="0" xfId="0"/>
    <xf numFmtId="2" fontId="14" fillId="0" borderId="37" applyAlignment="1" pivotButton="0" quotePrefix="0" xfId="0">
      <alignment vertical="center"/>
    </xf>
    <xf numFmtId="0" fontId="0" fillId="0" borderId="2" pivotButton="0" quotePrefix="0" xfId="0"/>
    <xf numFmtId="0" fontId="0" fillId="0" borderId="24" pivotButton="0" quotePrefix="0" xfId="0"/>
    <xf numFmtId="2" fontId="14" fillId="0" borderId="37" applyAlignment="1" pivotButton="0" quotePrefix="0" xfId="0">
      <alignment vertical="center" wrapText="1"/>
    </xf>
    <xf numFmtId="2" fontId="14" fillId="34" borderId="37" applyAlignment="1" pivotButton="0" quotePrefix="0" xfId="0">
      <alignment vertical="center" wrapText="1"/>
    </xf>
    <xf numFmtId="2" fontId="14" fillId="0" borderId="37" applyAlignment="1" pivotButton="0" quotePrefix="0" xfId="0">
      <alignment horizontal="left" vertical="center" wrapText="1" indent="1"/>
    </xf>
    <xf numFmtId="0" fontId="17" fillId="0" borderId="33" applyAlignment="1" pivotButton="0" quotePrefix="0" xfId="0">
      <alignment horizontal="center" vertical="center"/>
    </xf>
    <xf numFmtId="0" fontId="0" fillId="0" borderId="34" pivotButton="0" quotePrefix="0" xfId="0"/>
    <xf numFmtId="0" fontId="14" fillId="0" borderId="5" applyAlignment="1" pivotButton="0" quotePrefix="0" xfId="0">
      <alignment horizontal="left" vertical="top" wrapText="1"/>
    </xf>
    <xf numFmtId="0" fontId="14" fillId="0" borderId="33" applyAlignment="1" pivotButton="0" quotePrefix="0" xfId="0">
      <alignment horizontal="center" vertical="top" wrapText="1"/>
    </xf>
    <xf numFmtId="0" fontId="14" fillId="0" borderId="3" applyAlignment="1" pivotButton="0" quotePrefix="0" xfId="0">
      <alignment horizontal="center" vertical="top" wrapText="1"/>
    </xf>
    <xf numFmtId="2" fontId="14" fillId="0" borderId="36" applyAlignment="1" pivotButton="0" quotePrefix="0" xfId="0">
      <alignment horizontal="center" vertical="center"/>
    </xf>
    <xf numFmtId="2" fontId="14" fillId="34" borderId="36" applyAlignment="1" pivotButton="0" quotePrefix="0" xfId="0">
      <alignment horizontal="center" vertical="center" wrapText="1"/>
    </xf>
    <xf numFmtId="0" fontId="14" fillId="34" borderId="36" applyAlignment="1" pivotButton="0" quotePrefix="0" xfId="0">
      <alignment horizontal="center" vertical="top" wrapText="1"/>
    </xf>
    <xf numFmtId="0" fontId="17" fillId="0" borderId="11" applyAlignment="1" pivotButton="0" quotePrefix="0" xfId="0">
      <alignment horizontal="center" vertical="top" wrapText="1"/>
    </xf>
    <xf numFmtId="0" fontId="0" fillId="0" borderId="54" pivotButton="0" quotePrefix="0" xfId="0"/>
    <xf numFmtId="0" fontId="0" fillId="0" borderId="53" pivotButton="0" quotePrefix="0" xfId="0"/>
    <xf numFmtId="2" fontId="14" fillId="34" borderId="37" applyAlignment="1" pivotButton="0" quotePrefix="0" xfId="0">
      <alignment horizontal="center" vertical="center" wrapText="1"/>
    </xf>
    <xf numFmtId="0" fontId="14" fillId="34" borderId="37" applyAlignment="1" pivotButton="0" quotePrefix="0" xfId="0">
      <alignment horizontal="left" vertical="top" wrapText="1" indent="1"/>
    </xf>
    <xf numFmtId="0" fontId="14" fillId="34" borderId="4" applyAlignment="1" pivotButton="0" quotePrefix="0" xfId="0">
      <alignment horizontal="left" vertical="top" wrapText="1" indent="1"/>
    </xf>
    <xf numFmtId="0" fontId="0" fillId="0" borderId="62" pivotButton="0" quotePrefix="0" xfId="0"/>
    <xf numFmtId="0" fontId="14" fillId="0" borderId="5" applyAlignment="1" pivotButton="0" quotePrefix="0" xfId="0">
      <alignment horizontal="left" vertical="top" wrapText="1" indent="1"/>
    </xf>
    <xf numFmtId="0" fontId="18" fillId="0" borderId="33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31" pivotButton="0" quotePrefix="0" xfId="0"/>
    <xf numFmtId="0" fontId="0" fillId="0" borderId="22" pivotButton="0" quotePrefix="0" xfId="0"/>
    <xf numFmtId="165" fontId="17" fillId="0" borderId="28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 vertical="center" wrapText="1" indent="18"/>
    </xf>
    <xf numFmtId="164" fontId="14" fillId="35" borderId="36" applyAlignment="1" pivotButton="0" quotePrefix="0" xfId="0">
      <alignment horizontal="center" vertical="center" wrapText="1"/>
    </xf>
    <xf numFmtId="164" fontId="14" fillId="35" borderId="37" applyAlignment="1" pivotButton="0" quotePrefix="0" xfId="0">
      <alignment horizontal="center" vertical="center" wrapText="1"/>
    </xf>
    <xf numFmtId="164" fontId="14" fillId="0" borderId="53" applyAlignment="1" pivotButton="0" quotePrefix="0" xfId="0">
      <alignment horizontal="center" vertical="center" wrapText="1"/>
    </xf>
    <xf numFmtId="164" fontId="14" fillId="0" borderId="2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 wrapText="1"/>
    </xf>
    <xf numFmtId="165" fontId="17" fillId="0" borderId="11" applyAlignment="1" pivotButton="0" quotePrefix="0" xfId="0">
      <alignment horizontal="center" vertical="center"/>
    </xf>
  </cellXfs>
  <cellStyles count="540">
    <cellStyle name="Обычный" xfId="0" builtinId="0"/>
    <cellStyle name="Обычный 2" xfId="1"/>
    <cellStyle name="Финансовый" xfId="2" builtinId="3"/>
    <cellStyle name="Обычный 3" xfId="3"/>
    <cellStyle name="Обычный 4" xfId="4"/>
    <cellStyle name="Обычный 2 4" xfId="5"/>
    <cellStyle name="Обычный 3 5" xfId="6"/>
    <cellStyle name="Обычный 8" xfId="7"/>
    <cellStyle name="Обычный 5" xfId="8"/>
    <cellStyle name="Normal_2001 GENEL MALIYET" xfId="9"/>
    <cellStyle name="Normal 109" xfId="10"/>
    <cellStyle name="Yüzde 12" xfId="11"/>
    <cellStyle name="Обычный 2 2" xfId="12"/>
    <cellStyle name="Обычный 2 3" xfId="13"/>
    <cellStyle name="Обычный 3 4" xfId="14"/>
    <cellStyle name="Обычный 3 2" xfId="15"/>
    <cellStyle name="Обычный 3 3" xfId="16"/>
    <cellStyle name="Обычный 4 2" xfId="17"/>
    <cellStyle name="Финансовый 2" xfId="18"/>
    <cellStyle name="Обычный 4 3" xfId="19"/>
    <cellStyle name="Обычный 2 3 3" xfId="20"/>
    <cellStyle name="Обычный 2 4 2" xfId="21"/>
    <cellStyle name="Обычный 2 2 2" xfId="22"/>
    <cellStyle name="Обычный 3 2 2" xfId="23"/>
    <cellStyle name="Обычный 2 2 3" xfId="24"/>
    <cellStyle name="Обычный 2 3 2" xfId="25"/>
    <cellStyle name="Обычный 5 3" xfId="26"/>
    <cellStyle name="Обычный 2 2 2 2" xfId="27"/>
    <cellStyle name="Обычный 6" xfId="28"/>
    <cellStyle name="Обычный 2 2 4" xfId="29"/>
    <cellStyle name="Обычный 5 2" xfId="30"/>
    <cellStyle name="Обычный 2 5" xfId="31"/>
    <cellStyle name="Обычный 2 2 5" xfId="32"/>
    <cellStyle name="Финансовый 3" xfId="33"/>
    <cellStyle name="Финансовый 2 2" xfId="34"/>
    <cellStyle name="Обычный 7" xfId="35"/>
    <cellStyle name="Обычный 10" xfId="36"/>
    <cellStyle name="Обычный 2 3 6" xfId="37"/>
    <cellStyle name="Обычный 5 6" xfId="38"/>
    <cellStyle name="Заголовок 1 2" xfId="39"/>
    <cellStyle name="Заголовок 2 2" xfId="40"/>
    <cellStyle name="Заголовок 3 2" xfId="41"/>
    <cellStyle name="Заголовок 4 2" xfId="42"/>
    <cellStyle name="Хороший 2" xfId="43"/>
    <cellStyle name="Плохой 2" xfId="44"/>
    <cellStyle name="Нейтральный 2" xfId="45"/>
    <cellStyle name="Ввод  2" xfId="46"/>
    <cellStyle name="Вывод 2" xfId="47"/>
    <cellStyle name="Вычисление 2" xfId="48"/>
    <cellStyle name="Связанная ячейка 2" xfId="49"/>
    <cellStyle name="Контрольная ячейка 2" xfId="50"/>
    <cellStyle name="Текст предупреждения 2" xfId="51"/>
    <cellStyle name="Пояснение 2" xfId="52"/>
    <cellStyle name="Итог 2" xfId="53"/>
    <cellStyle name="Акцент1 2" xfId="54"/>
    <cellStyle name="20% — акцент1 2" xfId="55"/>
    <cellStyle name="40% — акцент1 2" xfId="56"/>
    <cellStyle name="60% — акцент1 2" xfId="57"/>
    <cellStyle name="Акцент2 2" xfId="58"/>
    <cellStyle name="20% — акцент2 2" xfId="59"/>
    <cellStyle name="40% — акцент2 2" xfId="60"/>
    <cellStyle name="60% — акцент2 2" xfId="61"/>
    <cellStyle name="Акцент3 2" xfId="62"/>
    <cellStyle name="20% — акцент3 2" xfId="63"/>
    <cellStyle name="40% — акцент3 2" xfId="64"/>
    <cellStyle name="60% — акцент3 2" xfId="65"/>
    <cellStyle name="Акцент4 2" xfId="66"/>
    <cellStyle name="20% — акцент4 2" xfId="67"/>
    <cellStyle name="40% — акцент4 2" xfId="68"/>
    <cellStyle name="60% — акцент4 2" xfId="69"/>
    <cellStyle name="Акцент5 2" xfId="70"/>
    <cellStyle name="20% — акцент5 2" xfId="71"/>
    <cellStyle name="40% — акцент5 2" xfId="72"/>
    <cellStyle name="60% — акцент5 2" xfId="73"/>
    <cellStyle name="Акцент6 2" xfId="74"/>
    <cellStyle name="20% — акцент6 2" xfId="75"/>
    <cellStyle name="40% — акцент6 2" xfId="76"/>
    <cellStyle name="60% — акцент6 2" xfId="77"/>
    <cellStyle name="Normal 109 2" xfId="78"/>
    <cellStyle name="%40 - Vurgu1 2" xfId="79"/>
    <cellStyle name="Ana Başlık 2" xfId="80"/>
    <cellStyle name="Comma_parça planlama" xfId="81"/>
    <cellStyle name="Excel Built-in Normal" xfId="82"/>
    <cellStyle name="Excel Built-in Normal 1" xfId="83"/>
    <cellStyle name="Excel Built-in Normal 1 2" xfId="84"/>
    <cellStyle name="Excel Built-in Normal 1 2 2" xfId="85"/>
    <cellStyle name="Excel Built-in Normal 1 3" xfId="86"/>
    <cellStyle name="Excel Built-in Normal 2" xfId="87"/>
    <cellStyle name="Excel Built-in Normal 2 2" xfId="88"/>
    <cellStyle name="Excel Built-in Normal 3" xfId="89"/>
    <cellStyle name="Excel Built-in Normal 4" xfId="90"/>
    <cellStyle name="Excel Built-in Percent" xfId="91"/>
    <cellStyle name="Excel Built-in Percent 1" xfId="92"/>
    <cellStyle name="Excel Built-in Percent 1 2" xfId="93"/>
    <cellStyle name="Excel Built-in Percent 2" xfId="94"/>
    <cellStyle name="Excel Built-in Percent 2 2" xfId="95"/>
    <cellStyle name="Excel Built-in Percent 2 3" xfId="96"/>
    <cellStyle name="Excel Built-in Percent 3" xfId="97"/>
    <cellStyle name="Heading" xfId="98"/>
    <cellStyle name="Heading 1" xfId="99"/>
    <cellStyle name="Heading 1 2" xfId="100"/>
    <cellStyle name="Heading 2" xfId="101"/>
    <cellStyle name="Heading 2 2" xfId="102"/>
    <cellStyle name="Heading 3" xfId="103"/>
    <cellStyle name="Heading 4" xfId="104"/>
    <cellStyle name="Heading1" xfId="105"/>
    <cellStyle name="Heading1 1" xfId="106"/>
    <cellStyle name="Heading1 1 2" xfId="107"/>
    <cellStyle name="Heading1 2" xfId="108"/>
    <cellStyle name="Heading1 2 2" xfId="109"/>
    <cellStyle name="Heading1 3" xfId="110"/>
    <cellStyle name="Heading1 4" xfId="111"/>
    <cellStyle name="Köprü 2" xfId="112"/>
    <cellStyle name="Köprü 2 2" xfId="113"/>
    <cellStyle name="Köprü 3" xfId="114"/>
    <cellStyle name="Köprü 4" xfId="115"/>
    <cellStyle name="Normal 10" xfId="116"/>
    <cellStyle name="Normal 10 2" xfId="117"/>
    <cellStyle name="Normal 10 2 2" xfId="118"/>
    <cellStyle name="Normal 10 2 3" xfId="119"/>
    <cellStyle name="Normal 10 3" xfId="120"/>
    <cellStyle name="Normal 10 3 2" xfId="121"/>
    <cellStyle name="Normal 10 4" xfId="122"/>
    <cellStyle name="Normal 100" xfId="123"/>
    <cellStyle name="Normal 101" xfId="124"/>
    <cellStyle name="Normal 102" xfId="125"/>
    <cellStyle name="Normal 103" xfId="126"/>
    <cellStyle name="Normal 104" xfId="127"/>
    <cellStyle name="Normal 104 2" xfId="128"/>
    <cellStyle name="Normal 105" xfId="129"/>
    <cellStyle name="Normal 106" xfId="130"/>
    <cellStyle name="Normal 106 2" xfId="131"/>
    <cellStyle name="Normal 107" xfId="132"/>
    <cellStyle name="Normal 108" xfId="133"/>
    <cellStyle name="Normal 11" xfId="134"/>
    <cellStyle name="Normal 11 2" xfId="135"/>
    <cellStyle name="Normal 12" xfId="136"/>
    <cellStyle name="Normal 12 2" xfId="137"/>
    <cellStyle name="Normal 13" xfId="138"/>
    <cellStyle name="Normal 13 2" xfId="139"/>
    <cellStyle name="Normal 14" xfId="140"/>
    <cellStyle name="Normal 15" xfId="141"/>
    <cellStyle name="Normal 16" xfId="142"/>
    <cellStyle name="Normal 17" xfId="143"/>
    <cellStyle name="Normal 18" xfId="144"/>
    <cellStyle name="Normal 19" xfId="145"/>
    <cellStyle name="Normal 2" xfId="146"/>
    <cellStyle name="Normal 2 2" xfId="147"/>
    <cellStyle name="Normal 2 2 2" xfId="148"/>
    <cellStyle name="Normal 2 2 2 2" xfId="149"/>
    <cellStyle name="Normal 2 2 2 3" xfId="150"/>
    <cellStyle name="Normal 2 2 2 3 2" xfId="151"/>
    <cellStyle name="Normal 2 2 3" xfId="152"/>
    <cellStyle name="Normal 2 2 4" xfId="153"/>
    <cellStyle name="Normal 2 2 5" xfId="154"/>
    <cellStyle name="Normal 2 2 6" xfId="155"/>
    <cellStyle name="Normal 2 3" xfId="156"/>
    <cellStyle name="Normal 2 3 2" xfId="157"/>
    <cellStyle name="Normal 2 3 2 2" xfId="158"/>
    <cellStyle name="Normal 2 3 3" xfId="159"/>
    <cellStyle name="Normal 2 3 4" xfId="160"/>
    <cellStyle name="Normal 2 4" xfId="161"/>
    <cellStyle name="Normal 2 5" xfId="162"/>
    <cellStyle name="Normal 2 6" xfId="163"/>
    <cellStyle name="Normal 2 7" xfId="164"/>
    <cellStyle name="Normal 2 8" xfId="165"/>
    <cellStyle name="Normal 20" xfId="166"/>
    <cellStyle name="Normal 21" xfId="167"/>
    <cellStyle name="Normal 22" xfId="168"/>
    <cellStyle name="Normal 23" xfId="169"/>
    <cellStyle name="Normal 24" xfId="170"/>
    <cellStyle name="Normal 25" xfId="171"/>
    <cellStyle name="Normal 26" xfId="172"/>
    <cellStyle name="Normal 27" xfId="173"/>
    <cellStyle name="Normal 28" xfId="174"/>
    <cellStyle name="Normal 29" xfId="175"/>
    <cellStyle name="Normal 3" xfId="176"/>
    <cellStyle name="Normal 3 2" xfId="177"/>
    <cellStyle name="Normal 3 2 2" xfId="178"/>
    <cellStyle name="Normal 3 2 3" xfId="179"/>
    <cellStyle name="Normal 3 2 3 2" xfId="180"/>
    <cellStyle name="Normal 3 2 4" xfId="181"/>
    <cellStyle name="Normal 3 2 5" xfId="182"/>
    <cellStyle name="Normal 3 3" xfId="183"/>
    <cellStyle name="Normal 3 3 2" xfId="184"/>
    <cellStyle name="Normal 3 3 2 2" xfId="185"/>
    <cellStyle name="Normal 3 3 3" xfId="186"/>
    <cellStyle name="Normal 3 3 4" xfId="187"/>
    <cellStyle name="Normal 3 4" xfId="188"/>
    <cellStyle name="Normal 3 5" xfId="189"/>
    <cellStyle name="Normal 3 6" xfId="190"/>
    <cellStyle name="Normal 3 6 2" xfId="191"/>
    <cellStyle name="Normal 3_GENEL GİD.DEĞERLEME" xfId="192"/>
    <cellStyle name="Normal 30" xfId="193"/>
    <cellStyle name="Normal 31" xfId="194"/>
    <cellStyle name="Normal 32" xfId="195"/>
    <cellStyle name="Normal 33" xfId="196"/>
    <cellStyle name="Normal 34" xfId="197"/>
    <cellStyle name="Normal 35" xfId="198"/>
    <cellStyle name="Normal 36" xfId="199"/>
    <cellStyle name="Normal 37" xfId="200"/>
    <cellStyle name="Normal 38" xfId="201"/>
    <cellStyle name="Normal 39" xfId="202"/>
    <cellStyle name="Normal 4" xfId="203"/>
    <cellStyle name="Normal 4 2" xfId="204"/>
    <cellStyle name="Normal 4 2 2" xfId="205"/>
    <cellStyle name="Normal 4 2 2 2" xfId="206"/>
    <cellStyle name="Normal 4 3" xfId="207"/>
    <cellStyle name="Normal 4 3 2" xfId="208"/>
    <cellStyle name="Normal 4 3 3" xfId="209"/>
    <cellStyle name="Normal 4 4" xfId="210"/>
    <cellStyle name="Normal 4 4 2" xfId="211"/>
    <cellStyle name="Normal 4 4 3" xfId="212"/>
    <cellStyle name="Normal 4 5" xfId="213"/>
    <cellStyle name="Normal 40" xfId="214"/>
    <cellStyle name="Normal 41" xfId="215"/>
    <cellStyle name="Normal 42" xfId="216"/>
    <cellStyle name="Normal 43" xfId="217"/>
    <cellStyle name="Normal 44" xfId="218"/>
    <cellStyle name="Normal 45" xfId="219"/>
    <cellStyle name="Normal 46" xfId="220"/>
    <cellStyle name="Normal 47" xfId="221"/>
    <cellStyle name="Normal 48" xfId="222"/>
    <cellStyle name="Normal 49" xfId="223"/>
    <cellStyle name="Normal 5" xfId="224"/>
    <cellStyle name="Normal 5 2" xfId="225"/>
    <cellStyle name="Normal 5 2 2" xfId="226"/>
    <cellStyle name="Normal 5 2 3" xfId="227"/>
    <cellStyle name="Normal 5 3" xfId="228"/>
    <cellStyle name="Normal 5 3 2" xfId="229"/>
    <cellStyle name="Normal 5 4" xfId="230"/>
    <cellStyle name="Normal 5 5" xfId="231"/>
    <cellStyle name="Normal 5 5 2" xfId="232"/>
    <cellStyle name="Normal 5 5 3" xfId="233"/>
    <cellStyle name="Normal 50" xfId="234"/>
    <cellStyle name="Normal 51" xfId="235"/>
    <cellStyle name="Normal 52" xfId="236"/>
    <cellStyle name="Normal 53" xfId="237"/>
    <cellStyle name="Normal 54" xfId="238"/>
    <cellStyle name="Normal 55" xfId="239"/>
    <cellStyle name="Normal 56" xfId="240"/>
    <cellStyle name="Normal 57" xfId="241"/>
    <cellStyle name="Normal 58" xfId="242"/>
    <cellStyle name="Normal 59" xfId="243"/>
    <cellStyle name="Normal 6" xfId="244"/>
    <cellStyle name="Normal 6 2" xfId="245"/>
    <cellStyle name="Normal 6 2 2" xfId="246"/>
    <cellStyle name="Normal 6 3" xfId="247"/>
    <cellStyle name="Normal 60" xfId="248"/>
    <cellStyle name="Normal 61" xfId="249"/>
    <cellStyle name="Normal 62" xfId="250"/>
    <cellStyle name="Normal 63" xfId="251"/>
    <cellStyle name="Normal 64" xfId="252"/>
    <cellStyle name="Normal 65" xfId="253"/>
    <cellStyle name="Normal 66" xfId="254"/>
    <cellStyle name="Normal 67" xfId="255"/>
    <cellStyle name="Normal 68" xfId="256"/>
    <cellStyle name="Normal 69" xfId="257"/>
    <cellStyle name="Normal 7" xfId="258"/>
    <cellStyle name="Normal 7 2" xfId="259"/>
    <cellStyle name="Normal 7 2 2" xfId="260"/>
    <cellStyle name="Normal 7 2 3" xfId="261"/>
    <cellStyle name="Normal 7 3" xfId="262"/>
    <cellStyle name="Normal 7 4" xfId="263"/>
    <cellStyle name="Normal 70" xfId="264"/>
    <cellStyle name="Normal 71" xfId="265"/>
    <cellStyle name="Normal 72" xfId="266"/>
    <cellStyle name="Normal 73" xfId="267"/>
    <cellStyle name="Normal 74" xfId="268"/>
    <cellStyle name="Normal 75" xfId="269"/>
    <cellStyle name="Normal 76" xfId="270"/>
    <cellStyle name="Normal 77" xfId="271"/>
    <cellStyle name="Normal 78" xfId="272"/>
    <cellStyle name="Normal 79" xfId="273"/>
    <cellStyle name="Normal 8" xfId="274"/>
    <cellStyle name="Normal 8 2" xfId="275"/>
    <cellStyle name="Normal 8 2 2" xfId="276"/>
    <cellStyle name="Normal 8 2 3" xfId="277"/>
    <cellStyle name="Normal 8 2 4" xfId="278"/>
    <cellStyle name="Normal 8 3" xfId="279"/>
    <cellStyle name="Normal 8 4" xfId="280"/>
    <cellStyle name="Normal 8 5" xfId="281"/>
    <cellStyle name="Normal 80" xfId="282"/>
    <cellStyle name="Normal 81" xfId="283"/>
    <cellStyle name="Normal 82" xfId="284"/>
    <cellStyle name="Normal 83" xfId="285"/>
    <cellStyle name="Normal 84" xfId="286"/>
    <cellStyle name="Normal 85" xfId="287"/>
    <cellStyle name="Normal 86" xfId="288"/>
    <cellStyle name="Normal 87" xfId="289"/>
    <cellStyle name="Normal 88" xfId="290"/>
    <cellStyle name="Normal 89" xfId="291"/>
    <cellStyle name="Normal 9" xfId="292"/>
    <cellStyle name="Normal 9 2" xfId="293"/>
    <cellStyle name="Normal 9 2 2" xfId="294"/>
    <cellStyle name="Normal 9 3" xfId="295"/>
    <cellStyle name="Normal 9 4" xfId="296"/>
    <cellStyle name="Normal 90" xfId="297"/>
    <cellStyle name="Normal 91" xfId="298"/>
    <cellStyle name="Normal 92" xfId="299"/>
    <cellStyle name="Normal 93" xfId="300"/>
    <cellStyle name="Normal 94" xfId="301"/>
    <cellStyle name="Normal 95" xfId="302"/>
    <cellStyle name="Normal 96" xfId="303"/>
    <cellStyle name="Normal 97" xfId="304"/>
    <cellStyle name="Normal 98" xfId="305"/>
    <cellStyle name="Normal 99" xfId="306"/>
    <cellStyle name="Not 2" xfId="307"/>
    <cellStyle name="Not 3" xfId="308"/>
    <cellStyle name="ParaBirimi 2" xfId="309"/>
    <cellStyle name="ParaBirimi 2 2" xfId="310"/>
    <cellStyle name="Result" xfId="311"/>
    <cellStyle name="Result 1" xfId="312"/>
    <cellStyle name="Result 1 2" xfId="313"/>
    <cellStyle name="Result 2" xfId="314"/>
    <cellStyle name="Result 2 2" xfId="315"/>
    <cellStyle name="Result 3" xfId="316"/>
    <cellStyle name="Result 4" xfId="317"/>
    <cellStyle name="Result2" xfId="318"/>
    <cellStyle name="Result2 1" xfId="319"/>
    <cellStyle name="Result2 1 2" xfId="320"/>
    <cellStyle name="Result2 2" xfId="321"/>
    <cellStyle name="Result2 2 2" xfId="322"/>
    <cellStyle name="Result2 3" xfId="323"/>
    <cellStyle name="Result2 4" xfId="324"/>
    <cellStyle name="Virgül [0]_B1" xfId="325"/>
    <cellStyle name="Virgül 10" xfId="326"/>
    <cellStyle name="Virgül 10 2" xfId="327"/>
    <cellStyle name="Virgül 11" xfId="328"/>
    <cellStyle name="Virgül 11 2" xfId="329"/>
    <cellStyle name="Virgül 12" xfId="330"/>
    <cellStyle name="Virgül 13" xfId="331"/>
    <cellStyle name="Virgül 14" xfId="332"/>
    <cellStyle name="Virgül 15" xfId="333"/>
    <cellStyle name="Virgül 15 2" xfId="334"/>
    <cellStyle name="Virgül 16" xfId="335"/>
    <cellStyle name="Virgül 17" xfId="336"/>
    <cellStyle name="Virgül 18" xfId="337"/>
    <cellStyle name="Virgül 19" xfId="338"/>
    <cellStyle name="Virgül 2" xfId="339"/>
    <cellStyle name="Virgül 2 2" xfId="340"/>
    <cellStyle name="Virgül 2 2 2" xfId="341"/>
    <cellStyle name="Virgül 2 2 3" xfId="342"/>
    <cellStyle name="Virgül 2 3" xfId="343"/>
    <cellStyle name="Virgül 2 3 2" xfId="344"/>
    <cellStyle name="Virgül 2 3 2 2" xfId="345"/>
    <cellStyle name="Virgül 2 3 3" xfId="346"/>
    <cellStyle name="Virgül 2 4" xfId="347"/>
    <cellStyle name="Virgül 20" xfId="348"/>
    <cellStyle name="Virgül 21" xfId="349"/>
    <cellStyle name="Virgül 22" xfId="350"/>
    <cellStyle name="Virgül 23" xfId="351"/>
    <cellStyle name="Virgül 24" xfId="352"/>
    <cellStyle name="Virgül 25" xfId="353"/>
    <cellStyle name="Virgül 3" xfId="354"/>
    <cellStyle name="Virgül 3 2" xfId="355"/>
    <cellStyle name="Virgül 3 2 2" xfId="356"/>
    <cellStyle name="Virgül 3 3" xfId="357"/>
    <cellStyle name="Virgül 4" xfId="358"/>
    <cellStyle name="Virgül 4 2" xfId="359"/>
    <cellStyle name="Virgül 4 2 2" xfId="360"/>
    <cellStyle name="Virgül 4 3" xfId="361"/>
    <cellStyle name="Virgül 4 4" xfId="362"/>
    <cellStyle name="Virgül 4 5" xfId="363"/>
    <cellStyle name="Virgül 5" xfId="364"/>
    <cellStyle name="Virgül 5 2" xfId="365"/>
    <cellStyle name="Virgül 5 2 2" xfId="366"/>
    <cellStyle name="Virgül 5 2 2 2" xfId="367"/>
    <cellStyle name="Virgül 5 3" xfId="368"/>
    <cellStyle name="Virgül 5 4" xfId="369"/>
    <cellStyle name="Virgül 6" xfId="370"/>
    <cellStyle name="Virgül 6 2" xfId="371"/>
    <cellStyle name="Virgül 6 3" xfId="372"/>
    <cellStyle name="Virgül 7" xfId="373"/>
    <cellStyle name="Virgül 7 2" xfId="374"/>
    <cellStyle name="Virgül 7 3" xfId="375"/>
    <cellStyle name="Virgül 8" xfId="376"/>
    <cellStyle name="Virgül 8 2" xfId="377"/>
    <cellStyle name="Virgül 8 3" xfId="378"/>
    <cellStyle name="Virgül 9" xfId="379"/>
    <cellStyle name="Virgül 9 2" xfId="380"/>
    <cellStyle name="Virgül 9 3" xfId="381"/>
    <cellStyle name="Yüzde 10" xfId="382"/>
    <cellStyle name="Yüzde 10 2" xfId="383"/>
    <cellStyle name="Yüzde 11" xfId="384"/>
    <cellStyle name="Yüzde 2" xfId="385"/>
    <cellStyle name="Yüzde 2 2" xfId="386"/>
    <cellStyle name="Yüzde 2 2 2" xfId="387"/>
    <cellStyle name="Yüzde 2 3" xfId="388"/>
    <cellStyle name="Yüzde 2 4" xfId="389"/>
    <cellStyle name="Yüzde 3" xfId="390"/>
    <cellStyle name="Yüzde 3 2" xfId="391"/>
    <cellStyle name="Yüzde 3 3" xfId="392"/>
    <cellStyle name="Yüzde 3 3 2" xfId="393"/>
    <cellStyle name="Yüzde 3 4" xfId="394"/>
    <cellStyle name="Yüzde 3 5" xfId="395"/>
    <cellStyle name="Yüzde 4" xfId="396"/>
    <cellStyle name="Yüzde 4 2" xfId="397"/>
    <cellStyle name="Yüzde 4 3" xfId="398"/>
    <cellStyle name="Yüzde 5" xfId="399"/>
    <cellStyle name="Yüzde 5 2" xfId="400"/>
    <cellStyle name="Yüzde 5 2 2" xfId="401"/>
    <cellStyle name="Yüzde 6" xfId="402"/>
    <cellStyle name="Yüzde 6 2" xfId="403"/>
    <cellStyle name="Yüzde 7" xfId="404"/>
    <cellStyle name="Yüzde 7 2" xfId="405"/>
    <cellStyle name="Yüzde 8" xfId="406"/>
    <cellStyle name="Yüzde 8 2" xfId="407"/>
    <cellStyle name="Yüzde 8 3" xfId="408"/>
    <cellStyle name="Yüzde 9" xfId="409"/>
    <cellStyle name="Процентный 2" xfId="410"/>
    <cellStyle name="Обычный 9" xfId="411"/>
    <cellStyle name="Обычный 2 2 6" xfId="412"/>
    <cellStyle name="Обычный 5 4" xfId="413"/>
    <cellStyle name="Обычный 7 3" xfId="414"/>
    <cellStyle name="Обычный 2 3 4" xfId="415"/>
    <cellStyle name="Обычный 2 2 2 4" xfId="416"/>
    <cellStyle name="Обычный 2 2 3 2" xfId="417"/>
    <cellStyle name="Обычный 2 3 2 2" xfId="418"/>
    <cellStyle name="Обычный 2 2 2 2 2" xfId="419"/>
    <cellStyle name="Обычный 6 2" xfId="420"/>
    <cellStyle name="Обычный 2 2 4 2" xfId="421"/>
    <cellStyle name="Обычный 5 2 3" xfId="422"/>
    <cellStyle name="Обычный 5 2 2" xfId="423"/>
    <cellStyle name="Обычный 2 5 2" xfId="424"/>
    <cellStyle name="Обычный 2 2 5 2" xfId="425"/>
    <cellStyle name="Обычный 8 3" xfId="426"/>
    <cellStyle name="Обычный 2 2 2 3" xfId="427"/>
    <cellStyle name="Обычный 7 2" xfId="428"/>
    <cellStyle name="Binlik Ayracı [0] 2" xfId="429"/>
    <cellStyle name="Binlik Ayracı [0] 3" xfId="430"/>
    <cellStyle name="Stil 1" xfId="431"/>
    <cellStyle name="Virgül 3 4" xfId="432"/>
    <cellStyle name="Процентный 2 2" xfId="433"/>
    <cellStyle name="Финансовый 2 3" xfId="434"/>
    <cellStyle name="Финансовый [0] 2" xfId="435"/>
    <cellStyle name="Обычный 2 6" xfId="436"/>
    <cellStyle name="Обычный 2 2 7" xfId="437"/>
    <cellStyle name="Обычный 2 3 5" xfId="438"/>
    <cellStyle name="Обычный 2 4 3" xfId="439"/>
    <cellStyle name="Обычный 2 2 2 5" xfId="440"/>
    <cellStyle name="Обычный 2 2 3 3" xfId="441"/>
    <cellStyle name="Обычный 2 3 2 3" xfId="442"/>
    <cellStyle name="Обычный 5 5" xfId="443"/>
    <cellStyle name="Обычный 2 2 2 2 3" xfId="444"/>
    <cellStyle name="Обычный 6 3" xfId="445"/>
    <cellStyle name="Обычный 2 2 4 3" xfId="446"/>
    <cellStyle name="Обычный 2 5 3" xfId="447"/>
    <cellStyle name="Обычный 2 2 5 3" xfId="448"/>
    <cellStyle name="Обычный 9 2" xfId="449"/>
    <cellStyle name="Обычный 2 2 6 2" xfId="450"/>
    <cellStyle name="Обычный 2 3 3 2" xfId="451"/>
    <cellStyle name="Обычный 2 4 2 2" xfId="452"/>
    <cellStyle name="Обычный 2 2 2 4 2" xfId="453"/>
    <cellStyle name="Обычный 2 2 3 2 2" xfId="454"/>
    <cellStyle name="Обычный 2 3 2 2 2" xfId="455"/>
    <cellStyle name="Обычный 5 3 2" xfId="456"/>
    <cellStyle name="Обычный 2 2 2 2 2 2" xfId="457"/>
    <cellStyle name="Обычный 6 2 2" xfId="458"/>
    <cellStyle name="Обычный 2 2 4 2 2" xfId="459"/>
    <cellStyle name="Обычный 2 5 2 2" xfId="460"/>
    <cellStyle name="Обычный 2 2 5 2 2" xfId="461"/>
    <cellStyle name="Обычный 8 2" xfId="462"/>
    <cellStyle name="Обычный 2 2 2 3 2" xfId="463"/>
    <cellStyle name="Обычный 2 6 2" xfId="464"/>
    <cellStyle name="Virgül 10 2 2" xfId="465"/>
    <cellStyle name="Virgül 11 2 2" xfId="466"/>
    <cellStyle name="Virgül 2 5" xfId="467"/>
    <cellStyle name="Virgül 2 2 3 2" xfId="468"/>
    <cellStyle name="Virgül 2 3 2 3" xfId="469"/>
    <cellStyle name="Virgül 2 3 2 2 2" xfId="470"/>
    <cellStyle name="Virgül 2 4 2" xfId="471"/>
    <cellStyle name="Virgül 3 5" xfId="472"/>
    <cellStyle name="Virgül 3 2 3" xfId="473"/>
    <cellStyle name="Virgül 3 2 2 2" xfId="474"/>
    <cellStyle name="Virgül 4 2 3" xfId="475"/>
    <cellStyle name="Virgül 4 2 2 2" xfId="476"/>
    <cellStyle name="Virgül 4 4 2" xfId="477"/>
    <cellStyle name="Virgül 5 2 3" xfId="478"/>
    <cellStyle name="Virgül 5 2 2 2 2" xfId="479"/>
    <cellStyle name="Virgül 5 3 2" xfId="480"/>
    <cellStyle name="Virgül 6 2 2" xfId="481"/>
    <cellStyle name="Virgül 7 4" xfId="482"/>
    <cellStyle name="Virgül 7 3 2" xfId="483"/>
    <cellStyle name="Virgül 8 4" xfId="484"/>
    <cellStyle name="Virgül 8 3 2" xfId="485"/>
    <cellStyle name="Virgül 9 4" xfId="486"/>
    <cellStyle name="Virgül 9 3 2" xfId="487"/>
    <cellStyle name="Обычный 2 2 8" xfId="488"/>
    <cellStyle name="Обычный 2 4 4" xfId="489"/>
    <cellStyle name="Обычный 2 2 2 6" xfId="490"/>
    <cellStyle name="Обычный 2 2 3 4" xfId="491"/>
    <cellStyle name="Обычный 2 3 2 4" xfId="492"/>
    <cellStyle name="Обычный 2 2 2 2 4" xfId="493"/>
    <cellStyle name="Обычный 6 4" xfId="494"/>
    <cellStyle name="Обычный 2 2 4 4" xfId="495"/>
    <cellStyle name="Обычный 2 5 4" xfId="496"/>
    <cellStyle name="Обычный 2 2 5 4" xfId="497"/>
    <cellStyle name="Обычный 9 3" xfId="498"/>
    <cellStyle name="Обычный 2 2 6 3" xfId="499"/>
    <cellStyle name="Обычный 2 3 3 3" xfId="500"/>
    <cellStyle name="Обычный 2 4 2 3" xfId="501"/>
    <cellStyle name="Обычный 2 2 2 4 3" xfId="502"/>
    <cellStyle name="Обычный 2 2 3 2 3" xfId="503"/>
    <cellStyle name="Обычный 2 3 2 2 3" xfId="504"/>
    <cellStyle name="Обычный 5 3 3" xfId="505"/>
    <cellStyle name="Обычный 2 2 2 2 2 3" xfId="506"/>
    <cellStyle name="Обычный 6 2 3" xfId="507"/>
    <cellStyle name="Обычный 2 2 4 2 3" xfId="508"/>
    <cellStyle name="Обычный 2 5 2 3" xfId="509"/>
    <cellStyle name="Обычный 2 2 5 2 3" xfId="510"/>
    <cellStyle name="Обычный 2 2 2 3 3" xfId="511"/>
    <cellStyle name="Обычный 2 6 3" xfId="512"/>
    <cellStyle name="Обычный 2 2 7 2" xfId="513"/>
    <cellStyle name="Обычный 2 3 5 2" xfId="514"/>
    <cellStyle name="Обычный 2 4 3 2" xfId="515"/>
    <cellStyle name="Обычный 2 2 2 5 2" xfId="516"/>
    <cellStyle name="Обычный 2 2 3 3 2" xfId="517"/>
    <cellStyle name="Обычный 2 3 2 3 2" xfId="518"/>
    <cellStyle name="Обычный 5 5 2" xfId="519"/>
    <cellStyle name="Обычный 2 2 2 2 3 2" xfId="520"/>
    <cellStyle name="Обычный 6 3 2" xfId="521"/>
    <cellStyle name="Обычный 2 2 4 3 2" xfId="522"/>
    <cellStyle name="Обычный 2 5 3 2" xfId="523"/>
    <cellStyle name="Обычный 2 2 5 3 2" xfId="524"/>
    <cellStyle name="Обычный 9 2 2" xfId="525"/>
    <cellStyle name="Обычный 2 2 6 2 2" xfId="526"/>
    <cellStyle name="Обычный 2 3 3 2 2" xfId="527"/>
    <cellStyle name="Обычный 2 4 2 2 2" xfId="528"/>
    <cellStyle name="Обычный 2 2 2 4 2 2" xfId="529"/>
    <cellStyle name="Обычный 2 2 3 2 2 2" xfId="530"/>
    <cellStyle name="Обычный 2 3 2 2 2 2" xfId="531"/>
    <cellStyle name="Обычный 5 3 2 2" xfId="532"/>
    <cellStyle name="Обычный 2 2 2 2 2 2 2" xfId="533"/>
    <cellStyle name="Обычный 6 2 2 2" xfId="534"/>
    <cellStyle name="Обычный 2 2 4 2 2 2" xfId="535"/>
    <cellStyle name="Обычный 2 5 2 2 2" xfId="536"/>
    <cellStyle name="Обычный 2 2 5 2 2 2" xfId="537"/>
    <cellStyle name="Обычный 2 2 2 3 2 2" xfId="538"/>
    <cellStyle name="Обычный 2 6 2 2" xfId="53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Репина</author>
  </authors>
  <commentList>
    <comment ref="G72" authorId="0" shapeId="0">
      <text>
        <t>Репина:
нет НДС</t>
      </text>
    </comment>
    <comment ref="I72" authorId="0" shapeId="0">
      <text>
        <t>Репина:
без ндс</t>
      </text>
    </comment>
    <comment ref="K72" authorId="0" shapeId="0">
      <text>
        <t>Репина:
нет НДС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97"/>
  <sheetViews>
    <sheetView showGridLines="0" tabSelected="1" topLeftCell="A28" zoomScale="90" zoomScaleNormal="90" zoomScaleSheetLayoutView="30" workbookViewId="0">
      <selection activeCell="P70" sqref="P70:Q70"/>
    </sheetView>
  </sheetViews>
  <sheetFormatPr baseColWidth="8" defaultColWidth="9.140625" defaultRowHeight="15"/>
  <cols>
    <col width="2" customWidth="1" style="49" min="1" max="1"/>
    <col width="3.7109375" customWidth="1" style="49" min="2" max="2"/>
    <col width="18.7109375" customWidth="1" style="49" min="3" max="3"/>
    <col width="8.5703125" customWidth="1" style="49" min="4" max="4"/>
    <col width="21.28515625" customWidth="1" style="49" min="5" max="5"/>
    <col width="15.7109375" customWidth="1" style="49" min="6" max="6"/>
    <col width="14.140625" bestFit="1" customWidth="1" style="4" min="7" max="7"/>
    <col width="10" customWidth="1" style="5" min="8" max="8"/>
    <col width="12.85546875" customWidth="1" style="49" min="9" max="9"/>
    <col width="11.5703125" customWidth="1" style="49" min="10" max="10"/>
    <col width="23.7109375" customWidth="1" style="49" min="11" max="11"/>
    <col width="24.5703125" customWidth="1" style="49" min="12" max="12"/>
    <col width="11.140625" bestFit="1" customWidth="1" style="49" min="13" max="13"/>
    <col width="7.85546875" customWidth="1" style="49" min="14" max="14"/>
    <col width="13.7109375" customWidth="1" style="49" min="15" max="15"/>
    <col width="10" customWidth="1" style="49" min="16" max="16"/>
    <col width="13.85546875" bestFit="1" customWidth="1" style="49" min="17" max="17"/>
    <col width="10" customWidth="1" style="49" min="18" max="18"/>
    <col width="19" customWidth="1" style="49" min="19" max="19"/>
    <col width="15.28515625" customWidth="1" style="49" min="20" max="20"/>
    <col width="12.85546875" customWidth="1" style="49" min="21" max="21"/>
    <col width="9.140625" customWidth="1" style="49" min="22" max="22"/>
    <col width="11.42578125" bestFit="1" customWidth="1" style="47" min="23" max="23"/>
    <col width="9.140625" customWidth="1" style="47" min="24" max="16384"/>
  </cols>
  <sheetData>
    <row r="1" ht="18.75" customHeight="1" s="47">
      <c r="B1" s="16" t="n"/>
      <c r="C1" s="16" t="n"/>
      <c r="D1" s="16" t="n"/>
      <c r="E1" s="16" t="n"/>
      <c r="F1" s="16" t="n"/>
      <c r="G1" s="16" t="n"/>
      <c r="H1" s="17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3" t="n"/>
    </row>
    <row r="2" ht="18.75" customHeight="1" s="47">
      <c r="B2" s="16" t="n"/>
      <c r="C2" s="16" t="n"/>
      <c r="D2" s="16" t="n"/>
      <c r="E2" s="16" t="n"/>
      <c r="F2" s="16" t="n"/>
      <c r="G2" s="16" t="n"/>
      <c r="H2" s="17" t="n"/>
      <c r="I2" s="16" t="n"/>
      <c r="J2" s="16" t="n"/>
      <c r="K2" s="16" t="n"/>
      <c r="L2" s="16" t="n"/>
      <c r="M2" s="16" t="n"/>
      <c r="N2" s="16" t="n"/>
      <c r="O2" s="16" t="n"/>
      <c r="P2" s="142" t="inlineStr">
        <is>
          <t>УТВЕРЖДАЮ:</t>
        </is>
      </c>
    </row>
    <row r="3" ht="18.75" customHeight="1" s="47">
      <c r="B3" s="16" t="n"/>
      <c r="C3" s="16" t="n"/>
      <c r="D3" s="16" t="n"/>
      <c r="E3" s="16" t="n"/>
      <c r="F3" s="16" t="n"/>
      <c r="G3" s="16" t="n"/>
      <c r="H3" s="17" t="n"/>
      <c r="I3" s="16" t="n"/>
      <c r="J3" s="16" t="n"/>
      <c r="K3" s="16" t="n"/>
      <c r="L3" s="16" t="n"/>
      <c r="M3" s="16" t="n"/>
      <c r="N3" s="16" t="n"/>
      <c r="O3" s="16" t="n"/>
      <c r="P3" s="142" t="inlineStr">
        <is>
          <t>Руководитель предприятия</t>
        </is>
      </c>
    </row>
    <row r="4" ht="18.75" customHeight="1" s="47">
      <c r="B4" s="16" t="n"/>
      <c r="C4" s="16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  <c r="M4" s="16" t="n"/>
      <c r="N4" s="16" t="n"/>
      <c r="O4" s="16" t="n"/>
      <c r="P4" s="144" t="inlineStr">
        <is>
          <t xml:space="preserve"> Алтухова Е.А. __________________ </t>
        </is>
      </c>
    </row>
    <row r="5" ht="18.75" customHeight="1" s="47">
      <c r="B5" s="16" t="n"/>
      <c r="C5" s="16" t="n"/>
      <c r="D5" s="16" t="n"/>
      <c r="E5" s="16" t="n"/>
      <c r="F5" s="16" t="n"/>
      <c r="G5" s="16" t="n"/>
      <c r="H5" s="17" t="n"/>
      <c r="I5" s="16" t="n"/>
      <c r="J5" s="16" t="n"/>
      <c r="K5" s="16" t="n"/>
      <c r="L5" s="16" t="n"/>
      <c r="M5" s="16" t="n"/>
      <c r="N5" s="16" t="n"/>
      <c r="O5" s="16" t="n"/>
      <c r="P5" s="142" t="n"/>
      <c r="Q5" s="142" t="n"/>
      <c r="R5" s="142" t="n"/>
      <c r="S5" s="142" t="n"/>
      <c r="T5" s="142" t="n"/>
      <c r="U5" s="143" t="n"/>
    </row>
    <row r="6" ht="18.75" customHeight="1" s="47">
      <c r="B6" s="16" t="n"/>
      <c r="C6" s="16" t="n"/>
      <c r="D6" s="16" t="n"/>
      <c r="E6" s="16" t="n"/>
      <c r="F6" s="16" t="n"/>
      <c r="G6" s="16" t="n"/>
      <c r="H6" s="17" t="n"/>
      <c r="I6" s="16" t="n"/>
      <c r="J6" s="16" t="n"/>
      <c r="K6" s="14" t="n"/>
      <c r="L6" s="16" t="n"/>
      <c r="M6" s="16" t="n"/>
      <c r="N6" s="16" t="n"/>
      <c r="O6" s="16" t="n"/>
      <c r="P6" s="142" t="inlineStr">
        <is>
          <t xml:space="preserve"> "____" _________________ 2026 г.</t>
        </is>
      </c>
    </row>
    <row r="7" ht="18.75" customHeight="1" s="47">
      <c r="B7" s="307" t="inlineStr">
        <is>
          <t>Акт № 1</t>
        </is>
      </c>
    </row>
    <row r="8" ht="18.75" customHeight="1" s="47">
      <c r="B8" s="142" t="inlineStr">
        <is>
          <t>о приёмке товарно-материальных ценностей</t>
        </is>
      </c>
    </row>
    <row r="9" ht="18.75" customHeight="1" s="47">
      <c r="B9" s="137" t="inlineStr">
        <is>
          <t>от 14.09.2026 г.</t>
        </is>
      </c>
    </row>
    <row r="10" ht="18.75" customHeight="1" s="47">
      <c r="B10" s="142" t="n"/>
      <c r="C10" s="142" t="n"/>
      <c r="D10" s="145" t="n"/>
      <c r="E10" s="145" t="n"/>
      <c r="F10" s="145" t="n"/>
      <c r="G10" s="145" t="n"/>
      <c r="H10" s="42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3" t="n"/>
    </row>
    <row r="11" ht="18.75" customHeight="1" s="47">
      <c r="A11" s="49" t="n"/>
      <c r="B11" s="308" t="inlineStr">
        <is>
          <t>Инвойс CTI2026000000504 от 16.07.2026</t>
        </is>
      </c>
      <c r="U11" s="143" t="n"/>
      <c r="V11" s="127" t="n"/>
    </row>
    <row r="12" ht="18.75" customHeight="1" s="47">
      <c r="A12" s="49" t="n"/>
      <c r="B12" s="308" t="inlineStr">
        <is>
          <t>Упаковочный лист (количество мест,  вес, объем) 0 коробок, 19 паллет, 54.13 м³, вес брутто - 7506 кг, вес нетто - 7296 кг.</t>
        </is>
      </c>
      <c r="U12" s="143" t="n"/>
      <c r="V12" s="49" t="n"/>
    </row>
    <row r="13" ht="18.75" customHeight="1" s="47">
      <c r="A13" s="49" t="n"/>
      <c r="B13" s="140" t="inlineStr">
        <is>
          <t>Состояние упаковки (вскрытая, потертая, помятая, рваная и т.д.) – удовлетворительное.</t>
        </is>
      </c>
      <c r="U13" s="143" t="n"/>
      <c r="V13" s="49" t="n"/>
    </row>
    <row r="14" ht="18.75" customHeight="1" s="47">
      <c r="A14" s="49" t="n"/>
      <c r="B14" s="140" t="inlineStr">
        <is>
          <t>Дата забора груза от отправителя:</t>
        </is>
      </c>
      <c r="F14" s="316" t="n">
        <v>46220</v>
      </c>
      <c r="G14" s="59" t="inlineStr">
        <is>
          <t xml:space="preserve"> г.</t>
        </is>
      </c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143" t="n"/>
      <c r="V14" s="49" t="n"/>
    </row>
    <row r="15" ht="18.75" customHeight="1" s="47">
      <c r="A15" s="49" t="n"/>
      <c r="B15" s="140" t="inlineStr">
        <is>
          <t>Дата выезда продукции (товара) из г. Стамбул:</t>
        </is>
      </c>
      <c r="G15" s="316" t="n">
        <v>46231</v>
      </c>
      <c r="H15" s="59" t="inlineStr">
        <is>
          <t xml:space="preserve"> г.</t>
        </is>
      </c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143" t="n"/>
      <c r="V15" s="49" t="n"/>
    </row>
    <row r="16" ht="18.75" customHeight="1" s="47">
      <c r="A16" s="49" t="n"/>
      <c r="B16" s="140" t="inlineStr">
        <is>
          <t xml:space="preserve">Дата ТО (таможенного оформления): </t>
        </is>
      </c>
      <c r="F16" s="316" t="n">
        <v>46258</v>
      </c>
      <c r="G16" s="59" t="inlineStr">
        <is>
          <t xml:space="preserve"> г.</t>
        </is>
      </c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143" t="n"/>
      <c r="V16" s="49" t="n"/>
    </row>
    <row r="17" ht="18.75" customHeight="1" s="47">
      <c r="A17" s="49" t="n"/>
      <c r="B17" s="140" t="inlineStr">
        <is>
          <t>Дата поступления продукции (товара) на склад:</t>
        </is>
      </c>
      <c r="G17" s="316" t="n">
        <v>46272</v>
      </c>
      <c r="H17" s="59" t="inlineStr">
        <is>
          <t xml:space="preserve"> г.</t>
        </is>
      </c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143" t="n"/>
      <c r="V17" s="49" t="n"/>
    </row>
    <row r="18" ht="18.75" customHeight="1" s="47">
      <c r="A18" s="49" t="n"/>
      <c r="B18" s="140" t="n"/>
      <c r="C18" s="140" t="n"/>
      <c r="D18" s="141" t="n"/>
      <c r="E18" s="141" t="n"/>
      <c r="F18" s="141" t="n"/>
      <c r="G18" s="145" t="n"/>
      <c r="H18" s="42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141" t="n"/>
      <c r="R18" s="141" t="n"/>
      <c r="S18" s="141" t="n"/>
      <c r="T18" s="141" t="n"/>
      <c r="U18" s="143" t="n"/>
      <c r="V18" s="49" t="n"/>
    </row>
    <row r="19" ht="18.75" customHeight="1" s="47">
      <c r="A19" s="49" t="n"/>
      <c r="B19" s="140" t="inlineStr">
        <is>
          <t>Поступление:</t>
        </is>
      </c>
      <c r="C19" s="140" t="n"/>
      <c r="D19" s="146" t="inlineStr">
        <is>
          <t>Cetinkaya Pano инвойс</t>
        </is>
      </c>
      <c r="E19" s="317" t="n"/>
      <c r="F19" s="311" t="n">
        <v>27161.47</v>
      </c>
      <c r="G19" s="61" t="inlineStr">
        <is>
          <t>EUR</t>
        </is>
      </c>
      <c r="H19" s="42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3" t="n"/>
      <c r="V19" s="49" t="n"/>
    </row>
    <row r="20" ht="18.75" customHeight="1" s="47">
      <c r="A20" s="49" t="n"/>
      <c r="B20" s="142" t="n"/>
      <c r="C20" s="142" t="n"/>
      <c r="D20" s="141" t="n"/>
      <c r="E20" s="141" t="n"/>
      <c r="F20" s="145" t="n"/>
      <c r="G20" s="145" t="n"/>
      <c r="H20" s="42" t="n"/>
      <c r="I20" s="145" t="n"/>
      <c r="J20" s="145" t="n"/>
      <c r="K20" s="145" t="n"/>
      <c r="L20" s="145" t="n"/>
      <c r="M20" s="141" t="n"/>
      <c r="N20" s="145" t="n"/>
      <c r="O20" s="145" t="n"/>
      <c r="P20" s="145" t="n"/>
      <c r="Q20" s="145" t="n"/>
      <c r="R20" s="145" t="n"/>
      <c r="S20" s="145" t="n"/>
      <c r="T20" s="145" t="n"/>
      <c r="U20" s="143" t="n"/>
      <c r="V20" s="49" t="n"/>
    </row>
    <row r="21" ht="18.75" customHeight="1" s="47">
      <c r="A21" s="49" t="n"/>
      <c r="B21" s="142" t="inlineStr">
        <is>
          <t>Мы, нижеподписавшиеся, составили настоящий акт о приёмке товарно-материальных ценностей:</t>
        </is>
      </c>
      <c r="U21" s="142" t="n"/>
      <c r="V21" s="49" t="n"/>
    </row>
    <row r="22" ht="18.75" customHeight="1" s="47">
      <c r="A22" s="49" t="n"/>
      <c r="B22" s="142" t="n"/>
      <c r="C22" s="142" t="n"/>
      <c r="D22" s="147" t="n"/>
      <c r="E22" s="147" t="n"/>
      <c r="F22" s="142" t="n"/>
      <c r="G22" s="142" t="n"/>
      <c r="H22" s="45" t="n"/>
      <c r="I22" s="142" t="n"/>
      <c r="J22" s="142" t="n"/>
      <c r="K22" s="142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2" t="n"/>
      <c r="U22" s="142" t="n"/>
      <c r="V22" s="49" t="n"/>
    </row>
    <row r="23" ht="18.75" customHeight="1" s="47">
      <c r="A23" s="49" t="n"/>
      <c r="B23" s="147" t="inlineStr">
        <is>
          <t xml:space="preserve"> Этапы сверки</t>
        </is>
      </c>
      <c r="V23" s="49" t="n"/>
    </row>
    <row r="24" ht="16.5" customHeight="1" s="47" thickBot="1">
      <c r="A24" s="49" t="n"/>
      <c r="B24" s="16" t="n"/>
      <c r="C24" s="16" t="n"/>
      <c r="D24" s="16" t="n"/>
      <c r="E24" s="16" t="n"/>
      <c r="F24" s="16" t="n"/>
      <c r="G24" s="16" t="n"/>
      <c r="H24" s="17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49" t="n"/>
    </row>
    <row r="25" ht="30.75" customHeight="1" s="47">
      <c r="A25" s="49" t="n"/>
      <c r="B25" s="318" t="inlineStr">
        <is>
          <t>№
п/п</t>
        </is>
      </c>
      <c r="C25" s="172" t="inlineStr">
        <is>
          <t>Этапы сверки</t>
        </is>
      </c>
      <c r="D25" s="319" t="n"/>
      <c r="E25" s="270" t="inlineStr">
        <is>
          <t>Номенклатура</t>
        </is>
      </c>
      <c r="F25" s="320" t="n"/>
      <c r="G25" s="321" t="inlineStr">
        <is>
          <t>Кол-во, шт</t>
        </is>
      </c>
      <c r="H25" s="322" t="n"/>
      <c r="I25" s="323" t="n"/>
      <c r="J25" s="160" t="inlineStr">
        <is>
          <t>Цена за ед.,
евро
(EXW)</t>
        </is>
      </c>
      <c r="K25" s="318" t="inlineStr">
        <is>
          <t>Итого,
евро
(EXW)</t>
        </is>
      </c>
      <c r="L25" s="318" t="inlineStr">
        <is>
          <t>Заказ поставщику</t>
        </is>
      </c>
      <c r="M25" s="320" t="n"/>
      <c r="N25" s="320" t="n"/>
      <c r="O25" s="319" t="n"/>
      <c r="P25" s="172" t="inlineStr">
        <is>
          <t>Примечание</t>
        </is>
      </c>
      <c r="Q25" s="320" t="n"/>
      <c r="R25" s="320" t="n"/>
      <c r="S25" s="319" t="n"/>
      <c r="T25" s="172" t="inlineStr">
        <is>
          <t>Ответственный</t>
        </is>
      </c>
      <c r="U25" s="319" t="n"/>
      <c r="V25" s="49" t="n"/>
    </row>
    <row r="26" ht="16.5" customHeight="1" s="47" thickBot="1">
      <c r="A26" s="49" t="n"/>
      <c r="B26" s="324" t="n"/>
      <c r="C26" s="325" t="n"/>
      <c r="D26" s="326" t="n"/>
      <c r="E26" s="327" t="n"/>
      <c r="F26" s="325" t="n"/>
      <c r="G26" s="92" t="inlineStr">
        <is>
          <t>в инвойсе</t>
        </is>
      </c>
      <c r="H26" s="94" t="inlineStr">
        <is>
          <t>факт</t>
        </is>
      </c>
      <c r="I26" s="91" t="inlineStr">
        <is>
          <t>∆</t>
        </is>
      </c>
      <c r="J26" s="328" t="n"/>
      <c r="K26" s="324" t="n"/>
      <c r="L26" s="327" t="n"/>
      <c r="M26" s="325" t="n"/>
      <c r="N26" s="325" t="n"/>
      <c r="O26" s="326" t="n"/>
      <c r="P26" s="325" t="n"/>
      <c r="Q26" s="325" t="n"/>
      <c r="R26" s="325" t="n"/>
      <c r="S26" s="326" t="n"/>
      <c r="T26" s="325" t="n"/>
      <c r="U26" s="326" t="n"/>
      <c r="V26" s="49" t="n"/>
    </row>
    <row r="27" ht="52.5" customHeight="1" s="47" thickBot="1">
      <c r="A27" s="49" t="n"/>
      <c r="B27" s="19" t="n">
        <v>1</v>
      </c>
      <c r="C27" s="329" t="inlineStr">
        <is>
          <t>Расхождения между упаковочным листом и инвойсом</t>
        </is>
      </c>
      <c r="D27" s="330" t="n"/>
      <c r="E27" s="72" t="inlineStr">
        <is>
          <t>Нет</t>
        </is>
      </c>
      <c r="F27" s="331" t="n"/>
      <c r="G27" s="331" t="n"/>
      <c r="H27" s="331" t="n"/>
      <c r="I27" s="331" t="n"/>
      <c r="J27" s="331" t="n"/>
      <c r="K27" s="330" t="n"/>
      <c r="L27" s="332" t="n"/>
      <c r="M27" s="331" t="n"/>
      <c r="N27" s="331" t="n"/>
      <c r="O27" s="330" t="n"/>
      <c r="P27" s="172" t="n"/>
      <c r="Q27" s="331" t="n"/>
      <c r="R27" s="331" t="n"/>
      <c r="S27" s="330" t="n"/>
      <c r="T27" s="174" t="inlineStr">
        <is>
          <t>Макеева И.В.</t>
        </is>
      </c>
      <c r="U27" s="330" t="n"/>
      <c r="V27" s="49" t="n"/>
    </row>
    <row r="28" ht="16.5" customHeight="1" s="47">
      <c r="A28" s="49" t="n"/>
      <c r="B28" s="19" t="n">
        <v>2</v>
      </c>
      <c r="C28" s="329" t="inlineStr">
        <is>
          <t>Расхождения между  упаковочным листом и пришедшим товаром</t>
        </is>
      </c>
      <c r="D28" s="319" t="n"/>
      <c r="E28" s="333" t="inlineStr">
        <is>
          <t>CP1043Y</t>
        </is>
      </c>
      <c r="F28" s="323" t="n"/>
      <c r="G28" s="128" t="n">
        <v>10</v>
      </c>
      <c r="H28" s="129" t="n">
        <v>12</v>
      </c>
      <c r="I28" s="130">
        <f>H28-G28</f>
        <v/>
      </c>
      <c r="J28" s="131" t="n">
        <v>7.46</v>
      </c>
      <c r="K28" s="132">
        <f>J28*I28</f>
        <v/>
      </c>
      <c r="L28" s="334" t="n"/>
      <c r="M28" s="322" t="n"/>
      <c r="N28" s="322" t="n"/>
      <c r="O28" s="323" t="n"/>
      <c r="P28" s="226" t="inlineStr">
        <is>
          <t>Излишек</t>
        </is>
      </c>
      <c r="Q28" s="218" t="n"/>
      <c r="R28" s="218" t="n"/>
      <c r="S28" s="219" t="n"/>
      <c r="T28" s="335" t="inlineStr">
        <is>
          <t>Макеева И.В.
Никулин А.И.</t>
        </is>
      </c>
      <c r="U28" s="319" t="n"/>
      <c r="V28" s="49" t="n"/>
    </row>
    <row r="29" ht="15.75" customHeight="1" s="47">
      <c r="A29" s="49" t="n"/>
      <c r="B29" s="336" t="n"/>
      <c r="C29" s="337" t="n"/>
      <c r="D29" s="328" t="n"/>
      <c r="E29" s="133" t="inlineStr">
        <is>
          <t>CP10912</t>
        </is>
      </c>
      <c r="F29" s="134" t="n"/>
      <c r="G29" s="128" t="n">
        <v>12</v>
      </c>
      <c r="H29" s="129" t="n">
        <v>14</v>
      </c>
      <c r="I29" s="130">
        <f>H29-G29</f>
        <v/>
      </c>
      <c r="J29" s="131" t="n">
        <v>5.97</v>
      </c>
      <c r="K29" s="132">
        <f>J29*I29</f>
        <v/>
      </c>
      <c r="L29" s="338" t="n"/>
      <c r="M29" s="339" t="n"/>
      <c r="N29" s="339" t="n"/>
      <c r="O29" s="340" t="n"/>
      <c r="P29" s="226" t="inlineStr">
        <is>
          <t>Излишек</t>
        </is>
      </c>
      <c r="Q29" s="218" t="n"/>
      <c r="R29" s="218" t="n"/>
      <c r="S29" s="219" t="n"/>
      <c r="T29" s="337" t="n"/>
      <c r="U29" s="328" t="n"/>
      <c r="V29" s="49" t="n"/>
    </row>
    <row r="30" ht="16.5" customHeight="1" s="47" thickBot="1">
      <c r="A30" s="49" t="n"/>
      <c r="B30" s="336" t="n"/>
      <c r="C30" s="337" t="n"/>
      <c r="D30" s="328" t="n"/>
      <c r="E30" s="133" t="inlineStr">
        <is>
          <t>CP6901</t>
        </is>
      </c>
      <c r="F30" s="135" t="n"/>
      <c r="G30" s="136" t="n">
        <v>80</v>
      </c>
      <c r="H30" s="136" t="n">
        <v>77</v>
      </c>
      <c r="I30" s="130">
        <f>H30-G30</f>
        <v/>
      </c>
      <c r="J30" s="131" t="n">
        <v>0.65</v>
      </c>
      <c r="K30" s="132">
        <f>J30*I30</f>
        <v/>
      </c>
      <c r="L30" s="207" t="n"/>
      <c r="M30" s="339" t="n"/>
      <c r="N30" s="339" t="n"/>
      <c r="O30" s="339" t="n"/>
      <c r="P30" s="226" t="inlineStr">
        <is>
          <t>+30% от стоимости затраты НДС, пошлины</t>
        </is>
      </c>
      <c r="Q30" s="218" t="n"/>
      <c r="R30" s="218" t="n"/>
      <c r="S30" s="219" t="n"/>
      <c r="T30" s="337" t="n"/>
      <c r="U30" s="328" t="n"/>
      <c r="V30" s="49" t="n"/>
    </row>
    <row r="31" hidden="1" ht="15.75" customHeight="1" s="47">
      <c r="A31" s="49" t="n"/>
      <c r="B31" s="336" t="n"/>
      <c r="C31" s="337" t="n"/>
      <c r="D31" s="328" t="n"/>
      <c r="E31" s="90" t="inlineStr">
        <is>
          <t>S21 C12K 01</t>
        </is>
      </c>
      <c r="F31" s="85" t="n"/>
      <c r="G31" s="99" t="n">
        <v>5</v>
      </c>
      <c r="H31" s="99" t="n">
        <v>6</v>
      </c>
      <c r="I31" s="95">
        <f>H31-G31</f>
        <v/>
      </c>
      <c r="J31" s="97" t="n">
        <v>12.63</v>
      </c>
      <c r="K31" s="70">
        <f>J31*I31</f>
        <v/>
      </c>
      <c r="L31" s="341" t="n"/>
      <c r="M31" s="339" t="n"/>
      <c r="N31" s="339" t="n"/>
      <c r="O31" s="340" t="n"/>
      <c r="P31" s="342" t="inlineStr">
        <is>
          <t>Излишек</t>
        </is>
      </c>
      <c r="Q31" s="339" t="n"/>
      <c r="R31" s="339" t="n"/>
      <c r="S31" s="340" t="n"/>
      <c r="T31" s="337" t="n"/>
      <c r="U31" s="328" t="n"/>
      <c r="V31" s="49" t="n"/>
    </row>
    <row r="32" hidden="1" ht="15.75" customHeight="1" s="47">
      <c r="A32" s="49" t="n"/>
      <c r="B32" s="336" t="n"/>
      <c r="C32" s="337" t="n"/>
      <c r="D32" s="328" t="n"/>
      <c r="E32" s="90" t="inlineStr">
        <is>
          <t>S21 C12K 02</t>
        </is>
      </c>
      <c r="F32" s="98" t="n"/>
      <c r="G32" s="99" t="n">
        <v>5</v>
      </c>
      <c r="H32" s="99" t="n">
        <v>4</v>
      </c>
      <c r="I32" s="95">
        <f>H32-G32</f>
        <v/>
      </c>
      <c r="J32" s="100" t="n">
        <v>15.79</v>
      </c>
      <c r="K32" s="70">
        <f>J32*I32</f>
        <v/>
      </c>
      <c r="L32" s="207" t="n"/>
      <c r="M32" s="339" t="n"/>
      <c r="N32" s="339" t="n"/>
      <c r="O32" s="339" t="n"/>
      <c r="P32" s="189" t="inlineStr">
        <is>
          <t>+30% от стоимости затраты НДС, пошлины</t>
        </is>
      </c>
      <c r="Q32" s="339" t="n"/>
      <c r="R32" s="339" t="n"/>
      <c r="S32" s="339" t="n"/>
      <c r="T32" s="337" t="n"/>
      <c r="U32" s="328" t="n"/>
      <c r="V32" s="49" t="n"/>
    </row>
    <row r="33" hidden="1" ht="18.75" customHeight="1" s="47">
      <c r="A33" s="49" t="n"/>
      <c r="B33" s="336" t="n"/>
      <c r="C33" s="337" t="n"/>
      <c r="D33" s="328" t="n"/>
      <c r="E33" s="90" t="inlineStr">
        <is>
          <t>V03 220 001</t>
        </is>
      </c>
      <c r="F33" s="85" t="n"/>
      <c r="G33" s="99" t="n">
        <v>5</v>
      </c>
      <c r="H33" s="99" t="n">
        <v>2</v>
      </c>
      <c r="I33" s="95">
        <f>H33-G33</f>
        <v/>
      </c>
      <c r="J33" s="97" t="n">
        <v>59</v>
      </c>
      <c r="K33" s="70">
        <f>J33*I33</f>
        <v/>
      </c>
      <c r="L33" s="338" t="n"/>
      <c r="M33" s="339" t="n"/>
      <c r="N33" s="339" t="n"/>
      <c r="O33" s="340" t="n"/>
      <c r="P33" s="114" t="inlineStr">
        <is>
          <t>+30% от стоимости затраты НДС, пошлины</t>
        </is>
      </c>
      <c r="Q33" s="211" t="n"/>
      <c r="R33" s="211" t="n"/>
      <c r="S33" s="212" t="n"/>
      <c r="T33" s="337" t="n"/>
      <c r="U33" s="328" t="n"/>
      <c r="V33" s="49" t="n"/>
    </row>
    <row r="34" hidden="1" ht="16.5" customHeight="1" s="47">
      <c r="A34" s="49" t="n"/>
      <c r="B34" s="336" t="n"/>
      <c r="C34" s="337" t="n"/>
      <c r="D34" s="328" t="n"/>
      <c r="E34" s="84" t="inlineStr">
        <is>
          <t>V05 060 001</t>
        </is>
      </c>
      <c r="F34" s="85" t="n"/>
      <c r="G34" s="122" t="n">
        <v>10</v>
      </c>
      <c r="H34" s="123" t="n">
        <v>17</v>
      </c>
      <c r="I34" s="95">
        <f>H34-G34</f>
        <v/>
      </c>
      <c r="J34" s="70" t="n">
        <v>2.25</v>
      </c>
      <c r="K34" s="70">
        <f>J34*I34</f>
        <v/>
      </c>
      <c r="L34" s="338" t="n"/>
      <c r="M34" s="339" t="n"/>
      <c r="N34" s="339" t="n"/>
      <c r="O34" s="340" t="n"/>
      <c r="P34" s="227" t="inlineStr">
        <is>
          <t>Излишек</t>
        </is>
      </c>
      <c r="Q34" s="211" t="n"/>
      <c r="R34" s="211" t="n"/>
      <c r="S34" s="212" t="n"/>
      <c r="T34" s="337" t="n"/>
      <c r="U34" s="328" t="n"/>
      <c r="V34" s="49" t="n"/>
    </row>
    <row r="35" hidden="1" ht="15.75" customHeight="1" s="47">
      <c r="A35" s="49" t="n"/>
      <c r="B35" s="336" t="n"/>
      <c r="C35" s="337" t="n"/>
      <c r="D35" s="328" t="n"/>
      <c r="E35" s="84" t="inlineStr">
        <is>
          <t>V05 060 002</t>
        </is>
      </c>
      <c r="F35" s="85" t="n"/>
      <c r="G35" s="121" t="n">
        <v>10</v>
      </c>
      <c r="H35" s="124" t="n">
        <v>3</v>
      </c>
      <c r="I35" s="95">
        <f>H35-G35</f>
        <v/>
      </c>
      <c r="J35" s="79" t="n">
        <v>2.25</v>
      </c>
      <c r="K35" s="79">
        <f>J35*I35</f>
        <v/>
      </c>
      <c r="L35" s="189" t="n"/>
      <c r="M35" s="339" t="n"/>
      <c r="N35" s="339" t="n"/>
      <c r="O35" s="339" t="n"/>
      <c r="P35" s="210" t="inlineStr">
        <is>
          <t>+30% от стоимости затраты НДС, пошлины</t>
        </is>
      </c>
      <c r="Q35" s="211" t="n"/>
      <c r="R35" s="211" t="n"/>
      <c r="S35" s="212" t="n"/>
      <c r="T35" s="337" t="n"/>
      <c r="U35" s="328" t="n"/>
      <c r="V35" s="49" t="n"/>
    </row>
    <row r="36" hidden="1" ht="15.75" customHeight="1" s="47">
      <c r="A36" s="49" t="n"/>
      <c r="B36" s="336" t="n"/>
      <c r="C36" s="337" t="n"/>
      <c r="D36" s="328" t="n"/>
      <c r="E36" s="84" t="n"/>
      <c r="F36" s="85" t="n"/>
      <c r="G36" s="93" t="n"/>
      <c r="H36" s="125" t="n"/>
      <c r="I36" s="95" t="n"/>
      <c r="J36" s="79" t="n"/>
      <c r="K36" s="79" t="n"/>
      <c r="L36" s="189" t="n"/>
      <c r="M36" s="339" t="n"/>
      <c r="N36" s="339" t="n"/>
      <c r="O36" s="339" t="n"/>
      <c r="P36" s="210" t="n"/>
      <c r="Q36" s="211" t="n"/>
      <c r="R36" s="211" t="n"/>
      <c r="S36" s="212" t="n"/>
      <c r="T36" s="337" t="n"/>
      <c r="U36" s="328" t="n"/>
      <c r="V36" s="49" t="n"/>
    </row>
    <row r="37" hidden="1" ht="15.75" customHeight="1" s="47">
      <c r="A37" s="49" t="n"/>
      <c r="B37" s="336" t="n"/>
      <c r="C37" s="337" t="n"/>
      <c r="D37" s="328" t="n"/>
      <c r="E37" s="84" t="n"/>
      <c r="F37" s="85" t="n"/>
      <c r="G37" s="65" t="n"/>
      <c r="H37" s="68" t="n"/>
      <c r="I37" s="87" t="n"/>
      <c r="J37" s="70" t="n"/>
      <c r="K37" s="70" t="n"/>
      <c r="L37" s="81" t="n"/>
      <c r="M37" s="82" t="n"/>
      <c r="N37" s="82" t="n"/>
      <c r="O37" s="83" t="n"/>
      <c r="P37" s="211" t="n"/>
      <c r="Q37" s="211" t="n"/>
      <c r="R37" s="211" t="n"/>
      <c r="S37" s="212" t="n"/>
      <c r="T37" s="337" t="n"/>
      <c r="U37" s="328" t="n"/>
      <c r="V37" s="49" t="n"/>
    </row>
    <row r="38" hidden="1" ht="15.75" customHeight="1" s="47">
      <c r="A38" s="49" t="n"/>
      <c r="B38" s="336" t="n"/>
      <c r="C38" s="337" t="n"/>
      <c r="D38" s="328" t="n"/>
      <c r="E38" s="84" t="n"/>
      <c r="F38" s="85" t="n"/>
      <c r="G38" s="65" t="n"/>
      <c r="H38" s="68" t="n"/>
      <c r="I38" s="87" t="n"/>
      <c r="J38" s="70" t="n"/>
      <c r="K38" s="70" t="n"/>
      <c r="L38" s="81" t="n"/>
      <c r="M38" s="82" t="n"/>
      <c r="N38" s="82" t="n"/>
      <c r="O38" s="83" t="n"/>
      <c r="P38" s="211" t="n"/>
      <c r="Q38" s="211" t="n"/>
      <c r="R38" s="211" t="n"/>
      <c r="S38" s="212" t="n"/>
      <c r="T38" s="337" t="n"/>
      <c r="U38" s="328" t="n"/>
      <c r="V38" s="49" t="n"/>
    </row>
    <row r="39" hidden="1" ht="16.5" customHeight="1" s="47" thickBot="1">
      <c r="A39" s="49" t="n"/>
      <c r="B39" s="336" t="n"/>
      <c r="C39" s="337" t="n"/>
      <c r="D39" s="328" t="n"/>
      <c r="E39" s="84" t="n"/>
      <c r="F39" s="85" t="n"/>
      <c r="G39" s="65" t="n"/>
      <c r="H39" s="68" t="n"/>
      <c r="I39" s="87" t="n"/>
      <c r="J39" s="88" t="n"/>
      <c r="K39" s="70" t="n"/>
      <c r="L39" s="226" t="n"/>
      <c r="M39" s="227" t="n"/>
      <c r="N39" s="227" t="n"/>
      <c r="O39" s="228" t="n"/>
      <c r="P39" s="343" t="n"/>
      <c r="Q39" s="339" t="n"/>
      <c r="R39" s="339" t="n"/>
      <c r="S39" s="340" t="n"/>
      <c r="T39" s="337" t="n"/>
      <c r="U39" s="328" t="n"/>
      <c r="V39" s="49" t="n"/>
    </row>
    <row r="40" ht="16.5" customHeight="1" s="47" thickBot="1">
      <c r="A40" s="49" t="n"/>
      <c r="B40" s="324" t="n"/>
      <c r="C40" s="327" t="n"/>
      <c r="D40" s="326" t="n"/>
      <c r="E40" s="213" t="inlineStr">
        <is>
          <t>Итого:</t>
        </is>
      </c>
      <c r="F40" s="320" t="n"/>
      <c r="G40" s="344" t="n"/>
      <c r="H40" s="331" t="n"/>
      <c r="I40" s="331" t="n"/>
      <c r="J40" s="330" t="n"/>
      <c r="K40" s="71">
        <f>SUM(K28:K39)</f>
        <v/>
      </c>
      <c r="L40" s="72" t="n"/>
      <c r="M40" s="331" t="n"/>
      <c r="N40" s="331" t="n"/>
      <c r="O40" s="330" t="n"/>
      <c r="P40" s="178" t="n"/>
      <c r="Q40" s="331" t="n"/>
      <c r="R40" s="331" t="n"/>
      <c r="S40" s="345" t="n"/>
      <c r="T40" s="327" t="n"/>
      <c r="U40" s="326" t="n"/>
      <c r="V40" s="49" t="n"/>
    </row>
    <row r="41" ht="55.5" customHeight="1" s="47" thickBot="1">
      <c r="B41" s="194" t="n">
        <v>3</v>
      </c>
      <c r="C41" s="346" t="inlineStr">
        <is>
          <t>Расхождения по ценам инвойса и входным в программе 1С</t>
        </is>
      </c>
      <c r="D41" s="326" t="n"/>
      <c r="E41" s="72" t="inlineStr">
        <is>
          <t>Нет</t>
        </is>
      </c>
      <c r="F41" s="331" t="n"/>
      <c r="G41" s="331" t="n"/>
      <c r="H41" s="331" t="n"/>
      <c r="I41" s="331" t="n"/>
      <c r="J41" s="331" t="n"/>
      <c r="K41" s="330" t="n"/>
      <c r="L41" s="347" t="n"/>
      <c r="M41" s="331" t="n"/>
      <c r="N41" s="331" t="n"/>
      <c r="O41" s="330" t="n"/>
      <c r="P41" s="348" t="inlineStr">
        <is>
          <t>Сверено с документом 1С «Приобретение товаров № КА-358 от 24 августа 2026 г.». Разная ед. изм. без расхождения по сумме: 17 поз. (CWD) — цена в 1С ×2.0, кол-во соответственно меньше</t>
        </is>
      </c>
      <c r="Q41" s="320" t="n"/>
      <c r="R41" s="320" t="n"/>
      <c r="S41" s="319" t="n"/>
      <c r="T41" s="174" t="inlineStr">
        <is>
          <t>Макеева И.В.</t>
        </is>
      </c>
      <c r="U41" s="330" t="n"/>
    </row>
    <row r="42" ht="24.75" customHeight="1" s="47">
      <c r="B42" s="242" t="n">
        <v>4</v>
      </c>
      <c r="C42" s="329" t="inlineStr">
        <is>
          <t>Расхождения между инвойсом и заказом поставщику (справочно)</t>
        </is>
      </c>
      <c r="D42" s="319" t="n"/>
      <c r="E42" s="349" t="inlineStr">
        <is>
          <t>Нет</t>
        </is>
      </c>
      <c r="F42" s="320" t="n"/>
      <c r="G42" s="320" t="n"/>
      <c r="H42" s="320" t="n"/>
      <c r="I42" s="320" t="n"/>
      <c r="J42" s="320" t="n"/>
      <c r="K42" s="319" t="n"/>
      <c r="L42" s="350" t="n"/>
      <c r="M42" s="320" t="n"/>
      <c r="N42" s="320" t="n"/>
      <c r="O42" s="319" t="n"/>
      <c r="P42" s="351" t="n"/>
      <c r="Q42" s="320" t="n"/>
      <c r="R42" s="320" t="n"/>
      <c r="S42" s="319" t="n"/>
      <c r="T42" s="352" t="inlineStr">
        <is>
          <t>Макеева И.В.</t>
        </is>
      </c>
      <c r="U42" s="319" t="n"/>
    </row>
    <row r="43" ht="24.75" customHeight="1" s="47" thickBot="1">
      <c r="B43" s="336" t="n"/>
      <c r="C43" s="337" t="n"/>
      <c r="D43" s="328" t="n"/>
      <c r="E43" s="353" t="n"/>
      <c r="F43" s="317" t="n"/>
      <c r="G43" s="317" t="n"/>
      <c r="H43" s="317" t="n"/>
      <c r="I43" s="317" t="n"/>
      <c r="J43" s="317" t="n"/>
      <c r="K43" s="354" t="n"/>
      <c r="L43" s="353" t="n"/>
      <c r="M43" s="317" t="n"/>
      <c r="N43" s="317" t="n"/>
      <c r="O43" s="354" t="n"/>
      <c r="P43" s="353" t="n"/>
      <c r="Q43" s="317" t="n"/>
      <c r="R43" s="317" t="n"/>
      <c r="S43" s="354" t="n"/>
      <c r="U43" s="328" t="n"/>
    </row>
    <row r="44" hidden="1" ht="24.75" customHeight="1" s="47">
      <c r="B44" s="336" t="n"/>
      <c r="C44" s="337" t="n"/>
      <c r="D44" s="328" t="n"/>
      <c r="E44" s="84" t="n"/>
      <c r="F44" s="85" t="n"/>
      <c r="G44" s="93" t="n"/>
      <c r="H44" s="95" t="n"/>
      <c r="I44" s="89" t="n"/>
      <c r="J44" s="79" t="n"/>
      <c r="K44" s="79" t="n"/>
      <c r="L44" s="355" t="n"/>
      <c r="M44" s="339" t="n"/>
      <c r="N44" s="339" t="n"/>
      <c r="O44" s="340" t="n"/>
      <c r="P44" s="356" t="n"/>
      <c r="Q44" s="339" t="n"/>
      <c r="R44" s="339" t="n"/>
      <c r="S44" s="340" t="n"/>
      <c r="U44" s="328" t="n"/>
    </row>
    <row r="45" hidden="1" ht="24.75" customHeight="1" s="47">
      <c r="B45" s="336" t="n"/>
      <c r="C45" s="337" t="n"/>
      <c r="D45" s="328" t="n"/>
      <c r="E45" s="84" t="n"/>
      <c r="F45" s="85" t="n"/>
      <c r="G45" s="93" t="n"/>
      <c r="H45" s="96" t="n"/>
      <c r="I45" s="89" t="n"/>
      <c r="J45" s="79" t="n"/>
      <c r="K45" s="79" t="n"/>
      <c r="L45" s="229" t="n"/>
      <c r="M45" s="339" t="n"/>
      <c r="N45" s="339" t="n"/>
      <c r="O45" s="339" t="n"/>
      <c r="P45" s="357" t="n"/>
      <c r="S45" s="328" t="n"/>
      <c r="U45" s="328" t="n"/>
    </row>
    <row r="46" hidden="1" ht="24.75" customHeight="1" s="47">
      <c r="B46" s="336" t="n"/>
      <c r="C46" s="337" t="n"/>
      <c r="D46" s="328" t="n"/>
      <c r="E46" s="84" t="n"/>
      <c r="F46" s="85" t="n"/>
      <c r="G46" s="93" t="n"/>
      <c r="H46" s="96" t="n"/>
      <c r="I46" s="89" t="n"/>
      <c r="J46" s="79" t="n"/>
      <c r="K46" s="79" t="n"/>
      <c r="L46" s="229" t="n"/>
      <c r="M46" s="339" t="n"/>
      <c r="N46" s="339" t="n"/>
      <c r="O46" s="339" t="n"/>
      <c r="P46" s="356" t="n"/>
      <c r="Q46" s="339" t="n"/>
      <c r="R46" s="339" t="n"/>
      <c r="S46" s="340" t="n"/>
      <c r="U46" s="328" t="n"/>
    </row>
    <row r="47" hidden="1" ht="24.75" customHeight="1" s="47">
      <c r="B47" s="336" t="n"/>
      <c r="C47" s="337" t="n"/>
      <c r="D47" s="328" t="n"/>
      <c r="E47" s="84" t="n"/>
      <c r="F47" s="85" t="n"/>
      <c r="G47" s="65" t="n"/>
      <c r="H47" s="86" t="n"/>
      <c r="I47" s="89" t="n"/>
      <c r="J47" s="79" t="n"/>
      <c r="K47" s="79" t="n"/>
      <c r="L47" s="237" t="n"/>
      <c r="M47" s="339" t="n"/>
      <c r="N47" s="339" t="n"/>
      <c r="O47" s="339" t="n"/>
      <c r="P47" s="239" t="n"/>
      <c r="Q47" s="339" t="n"/>
      <c r="R47" s="339" t="n"/>
      <c r="S47" s="358" t="n"/>
      <c r="U47" s="328" t="n"/>
    </row>
    <row r="48" hidden="1" ht="24.75" customHeight="1" s="47">
      <c r="B48" s="336" t="n"/>
      <c r="C48" s="337" t="n"/>
      <c r="D48" s="328" t="n"/>
      <c r="E48" s="84" t="n"/>
      <c r="F48" s="85" t="n"/>
      <c r="G48" s="65" t="n"/>
      <c r="H48" s="86" t="n"/>
      <c r="I48" s="89" t="n"/>
      <c r="J48" s="79" t="n"/>
      <c r="K48" s="79" t="n"/>
      <c r="L48" s="237" t="n"/>
      <c r="M48" s="339" t="n"/>
      <c r="N48" s="339" t="n"/>
      <c r="O48" s="339" t="n"/>
      <c r="P48" s="239" t="n"/>
      <c r="Q48" s="339" t="n"/>
      <c r="R48" s="339" t="n"/>
      <c r="S48" s="358" t="n"/>
      <c r="U48" s="328" t="n"/>
    </row>
    <row r="49" hidden="1" ht="24.75" customHeight="1" s="47">
      <c r="B49" s="336" t="n"/>
      <c r="C49" s="337" t="n"/>
      <c r="D49" s="328" t="n"/>
      <c r="E49" s="84" t="n"/>
      <c r="F49" s="85" t="n"/>
      <c r="G49" s="65" t="n"/>
      <c r="H49" s="86" t="n"/>
      <c r="I49" s="89" t="n"/>
      <c r="J49" s="79" t="n"/>
      <c r="K49" s="79" t="n"/>
      <c r="L49" s="237" t="n"/>
      <c r="M49" s="339" t="n"/>
      <c r="N49" s="339" t="n"/>
      <c r="O49" s="339" t="n"/>
      <c r="P49" s="239" t="n"/>
      <c r="Q49" s="339" t="n"/>
      <c r="R49" s="339" t="n"/>
      <c r="S49" s="358" t="n"/>
      <c r="U49" s="328" t="n"/>
    </row>
    <row r="50" hidden="1" ht="24.75" customHeight="1" s="47">
      <c r="B50" s="336" t="n"/>
      <c r="C50" s="337" t="n"/>
      <c r="D50" s="328" t="n"/>
      <c r="E50" s="84" t="n"/>
      <c r="F50" s="85" t="n"/>
      <c r="G50" s="65" t="n"/>
      <c r="H50" s="86" t="n"/>
      <c r="I50" s="89" t="n"/>
      <c r="J50" s="79" t="n"/>
      <c r="K50" s="79" t="n"/>
      <c r="L50" s="237" t="n"/>
      <c r="M50" s="339" t="n"/>
      <c r="N50" s="339" t="n"/>
      <c r="O50" s="339" t="n"/>
      <c r="P50" s="239" t="n"/>
      <c r="Q50" s="339" t="n"/>
      <c r="R50" s="339" t="n"/>
      <c r="S50" s="358" t="n"/>
      <c r="U50" s="328" t="n"/>
    </row>
    <row r="51" hidden="1" ht="24.75" customHeight="1" s="47">
      <c r="B51" s="336" t="n"/>
      <c r="C51" s="337" t="n"/>
      <c r="D51" s="328" t="n"/>
      <c r="E51" s="84" t="n"/>
      <c r="F51" s="85" t="n"/>
      <c r="G51" s="65" t="n"/>
      <c r="H51" s="86" t="n"/>
      <c r="I51" s="89" t="n"/>
      <c r="J51" s="79" t="n"/>
      <c r="K51" s="79" t="n"/>
      <c r="L51" s="237" t="n"/>
      <c r="M51" s="339" t="n"/>
      <c r="N51" s="339" t="n"/>
      <c r="O51" s="339" t="n"/>
      <c r="P51" s="239" t="n"/>
      <c r="Q51" s="339" t="n"/>
      <c r="R51" s="339" t="n"/>
      <c r="S51" s="358" t="n"/>
      <c r="U51" s="328" t="n"/>
    </row>
    <row r="52" hidden="1" ht="24.75" customHeight="1" s="47">
      <c r="B52" s="336" t="n"/>
      <c r="C52" s="337" t="n"/>
      <c r="D52" s="328" t="n"/>
      <c r="E52" s="84" t="n"/>
      <c r="F52" s="85" t="n"/>
      <c r="G52" s="65" t="n"/>
      <c r="H52" s="86" t="n"/>
      <c r="I52" s="89" t="n"/>
      <c r="J52" s="79" t="n"/>
      <c r="K52" s="79" t="n"/>
      <c r="L52" s="237" t="n"/>
      <c r="M52" s="339" t="n"/>
      <c r="N52" s="339" t="n"/>
      <c r="O52" s="339" t="n"/>
      <c r="P52" s="239" t="n"/>
      <c r="Q52" s="339" t="n"/>
      <c r="R52" s="339" t="n"/>
      <c r="S52" s="358" t="n"/>
      <c r="U52" s="328" t="n"/>
    </row>
    <row r="53" hidden="1" ht="24.75" customHeight="1" s="47">
      <c r="B53" s="336" t="n"/>
      <c r="C53" s="337" t="n"/>
      <c r="D53" s="328" t="n"/>
      <c r="E53" s="84" t="n"/>
      <c r="F53" s="85" t="n"/>
      <c r="G53" s="65" t="n"/>
      <c r="H53" s="86" t="n"/>
      <c r="I53" s="89" t="n"/>
      <c r="J53" s="79" t="n"/>
      <c r="K53" s="79" t="n"/>
      <c r="L53" s="237" t="n"/>
      <c r="M53" s="339" t="n"/>
      <c r="N53" s="339" t="n"/>
      <c r="O53" s="339" t="n"/>
      <c r="P53" s="239" t="n"/>
      <c r="Q53" s="339" t="n"/>
      <c r="R53" s="339" t="n"/>
      <c r="S53" s="358" t="n"/>
      <c r="U53" s="328" t="n"/>
    </row>
    <row r="54" hidden="1" ht="24.75" customHeight="1" s="47">
      <c r="B54" s="336" t="n"/>
      <c r="C54" s="337" t="n"/>
      <c r="D54" s="328" t="n"/>
      <c r="E54" s="84" t="n"/>
      <c r="F54" s="85" t="n"/>
      <c r="G54" s="65" t="n"/>
      <c r="H54" s="86" t="n"/>
      <c r="I54" s="89" t="n"/>
      <c r="J54" s="79" t="n"/>
      <c r="K54" s="79" t="n"/>
      <c r="L54" s="237" t="n"/>
      <c r="M54" s="339" t="n"/>
      <c r="N54" s="339" t="n"/>
      <c r="O54" s="339" t="n"/>
      <c r="P54" s="239" t="n"/>
      <c r="Q54" s="339" t="n"/>
      <c r="R54" s="339" t="n"/>
      <c r="S54" s="358" t="n"/>
      <c r="U54" s="328" t="n"/>
    </row>
    <row r="55" hidden="1" ht="24.75" customHeight="1" s="47">
      <c r="B55" s="336" t="n"/>
      <c r="C55" s="337" t="n"/>
      <c r="D55" s="328" t="n"/>
      <c r="E55" s="84" t="n"/>
      <c r="F55" s="85" t="n"/>
      <c r="G55" s="65" t="n"/>
      <c r="H55" s="86" t="n"/>
      <c r="I55" s="89" t="n"/>
      <c r="J55" s="79" t="n"/>
      <c r="K55" s="79" t="n"/>
      <c r="L55" s="237" t="n"/>
      <c r="M55" s="339" t="n"/>
      <c r="N55" s="339" t="n"/>
      <c r="O55" s="339" t="n"/>
      <c r="P55" s="239" t="n"/>
      <c r="Q55" s="339" t="n"/>
      <c r="R55" s="339" t="n"/>
      <c r="S55" s="358" t="n"/>
      <c r="U55" s="328" t="n"/>
    </row>
    <row r="56" hidden="1" ht="24.75" customHeight="1" s="47">
      <c r="B56" s="336" t="n"/>
      <c r="C56" s="337" t="n"/>
      <c r="D56" s="328" t="n"/>
      <c r="E56" s="84" t="n"/>
      <c r="F56" s="85" t="n"/>
      <c r="G56" s="65" t="n"/>
      <c r="H56" s="86" t="n"/>
      <c r="I56" s="89" t="n"/>
      <c r="J56" s="79" t="n"/>
      <c r="K56" s="79" t="n"/>
      <c r="L56" s="237" t="n"/>
      <c r="M56" s="339" t="n"/>
      <c r="N56" s="339" t="n"/>
      <c r="O56" s="339" t="n"/>
      <c r="P56" s="239" t="n"/>
      <c r="Q56" s="339" t="n"/>
      <c r="R56" s="339" t="n"/>
      <c r="S56" s="358" t="n"/>
      <c r="U56" s="328" t="n"/>
    </row>
    <row r="57" hidden="1" ht="24.75" customHeight="1" s="47">
      <c r="B57" s="336" t="n"/>
      <c r="C57" s="337" t="n"/>
      <c r="D57" s="328" t="n"/>
      <c r="E57" s="84" t="n"/>
      <c r="F57" s="85" t="n"/>
      <c r="G57" s="65" t="n"/>
      <c r="H57" s="86" t="n"/>
      <c r="I57" s="89" t="n"/>
      <c r="J57" s="79" t="n"/>
      <c r="K57" s="79" t="n"/>
      <c r="L57" s="237" t="n"/>
      <c r="M57" s="339" t="n"/>
      <c r="N57" s="339" t="n"/>
      <c r="O57" s="339" t="n"/>
      <c r="P57" s="239" t="n"/>
      <c r="Q57" s="339" t="n"/>
      <c r="R57" s="339" t="n"/>
      <c r="S57" s="358" t="n"/>
      <c r="U57" s="328" t="n"/>
    </row>
    <row r="58" hidden="1" ht="24.75" customHeight="1" s="47">
      <c r="B58" s="336" t="n"/>
      <c r="C58" s="337" t="n"/>
      <c r="D58" s="328" t="n"/>
      <c r="E58" s="84" t="n"/>
      <c r="F58" s="85" t="n"/>
      <c r="G58" s="65" t="n"/>
      <c r="H58" s="86" t="n"/>
      <c r="I58" s="89" t="n"/>
      <c r="J58" s="79" t="n"/>
      <c r="K58" s="79" t="n"/>
      <c r="L58" s="237" t="n"/>
      <c r="M58" s="339" t="n"/>
      <c r="N58" s="339" t="n"/>
      <c r="O58" s="339" t="n"/>
      <c r="P58" s="239" t="n"/>
      <c r="Q58" s="339" t="n"/>
      <c r="R58" s="339" t="n"/>
      <c r="S58" s="358" t="n"/>
      <c r="U58" s="328" t="n"/>
    </row>
    <row r="59" hidden="1" ht="24.75" customHeight="1" s="47">
      <c r="B59" s="336" t="n"/>
      <c r="C59" s="337" t="n"/>
      <c r="D59" s="328" t="n"/>
      <c r="E59" s="84" t="n"/>
      <c r="F59" s="85" t="n"/>
      <c r="G59" s="65" t="n"/>
      <c r="H59" s="86" t="n"/>
      <c r="I59" s="89" t="n"/>
      <c r="J59" s="79" t="n"/>
      <c r="K59" s="79" t="n"/>
      <c r="L59" s="237" t="n"/>
      <c r="M59" s="339" t="n"/>
      <c r="N59" s="339" t="n"/>
      <c r="O59" s="339" t="n"/>
      <c r="P59" s="239" t="n"/>
      <c r="Q59" s="339" t="n"/>
      <c r="R59" s="339" t="n"/>
      <c r="S59" s="358" t="n"/>
      <c r="U59" s="328" t="n"/>
    </row>
    <row r="60" hidden="1" ht="24.75" customHeight="1" s="47">
      <c r="B60" s="336" t="n"/>
      <c r="C60" s="337" t="n"/>
      <c r="D60" s="328" t="n"/>
      <c r="E60" s="84" t="n"/>
      <c r="F60" s="85" t="n"/>
      <c r="G60" s="65" t="n"/>
      <c r="H60" s="86" t="n"/>
      <c r="I60" s="89" t="n"/>
      <c r="J60" s="79" t="n"/>
      <c r="K60" s="79" t="n"/>
      <c r="L60" s="237" t="n"/>
      <c r="M60" s="339" t="n"/>
      <c r="N60" s="339" t="n"/>
      <c r="O60" s="339" t="n"/>
      <c r="P60" s="239" t="n"/>
      <c r="Q60" s="339" t="n"/>
      <c r="R60" s="339" t="n"/>
      <c r="S60" s="358" t="n"/>
      <c r="U60" s="328" t="n"/>
    </row>
    <row r="61" hidden="1" ht="24.75" customHeight="1" s="47">
      <c r="B61" s="336" t="n"/>
      <c r="C61" s="337" t="n"/>
      <c r="D61" s="328" t="n"/>
      <c r="E61" s="84" t="n"/>
      <c r="F61" s="85" t="n"/>
      <c r="G61" s="65" t="n"/>
      <c r="H61" s="86" t="n"/>
      <c r="I61" s="89" t="n"/>
      <c r="J61" s="79" t="n"/>
      <c r="K61" s="79" t="n"/>
      <c r="L61" s="237" t="n"/>
      <c r="M61" s="339" t="n"/>
      <c r="N61" s="339" t="n"/>
      <c r="O61" s="339" t="n"/>
      <c r="P61" s="239" t="n"/>
      <c r="Q61" s="339" t="n"/>
      <c r="R61" s="339" t="n"/>
      <c r="S61" s="358" t="n"/>
      <c r="U61" s="328" t="n"/>
    </row>
    <row r="62" hidden="1" ht="24.75" customHeight="1" s="47">
      <c r="B62" s="336" t="n"/>
      <c r="C62" s="337" t="n"/>
      <c r="D62" s="328" t="n"/>
      <c r="E62" s="84" t="n"/>
      <c r="F62" s="85" t="n"/>
      <c r="G62" s="65" t="n"/>
      <c r="H62" s="86" t="n"/>
      <c r="I62" s="89" t="n"/>
      <c r="J62" s="79" t="n"/>
      <c r="K62" s="79" t="n"/>
      <c r="L62" s="237" t="n"/>
      <c r="M62" s="339" t="n"/>
      <c r="N62" s="339" t="n"/>
      <c r="O62" s="339" t="n"/>
      <c r="P62" s="239" t="n"/>
      <c r="Q62" s="339" t="n"/>
      <c r="R62" s="339" t="n"/>
      <c r="S62" s="358" t="n"/>
      <c r="U62" s="328" t="n"/>
    </row>
    <row r="63" hidden="1" ht="24.75" customHeight="1" s="47">
      <c r="B63" s="336" t="n"/>
      <c r="C63" s="337" t="n"/>
      <c r="D63" s="328" t="n"/>
      <c r="E63" s="84" t="n"/>
      <c r="F63" s="85" t="n"/>
      <c r="G63" s="65" t="n"/>
      <c r="H63" s="86" t="n"/>
      <c r="I63" s="89" t="n"/>
      <c r="J63" s="79" t="n"/>
      <c r="K63" s="79" t="n"/>
      <c r="L63" s="237" t="n"/>
      <c r="M63" s="339" t="n"/>
      <c r="N63" s="339" t="n"/>
      <c r="O63" s="339" t="n"/>
      <c r="P63" s="239" t="n"/>
      <c r="Q63" s="339" t="n"/>
      <c r="R63" s="339" t="n"/>
      <c r="S63" s="358" t="n"/>
      <c r="U63" s="328" t="n"/>
    </row>
    <row r="64" hidden="1" ht="24.75" customHeight="1" s="47" thickBot="1">
      <c r="B64" s="336" t="n"/>
      <c r="C64" s="337" t="n"/>
      <c r="D64" s="328" t="n"/>
      <c r="E64" s="84" t="n"/>
      <c r="F64" s="85" t="n"/>
      <c r="G64" s="65" t="n"/>
      <c r="H64" s="86" t="n"/>
      <c r="I64" s="89" t="n"/>
      <c r="J64" s="79" t="n"/>
      <c r="K64" s="79" t="n"/>
      <c r="L64" s="237" t="n"/>
      <c r="M64" s="339" t="n"/>
      <c r="N64" s="339" t="n"/>
      <c r="O64" s="339" t="n"/>
      <c r="P64" s="359" t="n"/>
      <c r="Q64" s="325" t="n"/>
      <c r="R64" s="325" t="n"/>
      <c r="S64" s="326" t="n"/>
      <c r="U64" s="328" t="n"/>
    </row>
    <row r="65" ht="21" customHeight="1" s="47" thickBot="1">
      <c r="A65" s="49" t="n"/>
      <c r="B65" s="324" t="n"/>
      <c r="C65" s="327" t="n"/>
      <c r="D65" s="326" t="n"/>
      <c r="E65" s="72" t="inlineStr">
        <is>
          <t>Итого:</t>
        </is>
      </c>
      <c r="F65" s="330" t="n"/>
      <c r="G65" s="299" t="n"/>
      <c r="H65" s="320" t="n"/>
      <c r="I65" s="320" t="n"/>
      <c r="J65" s="319" t="n"/>
      <c r="K65" s="66">
        <f>SUM(K42:K64)</f>
        <v/>
      </c>
      <c r="L65" s="300" t="n"/>
      <c r="M65" s="331" t="n"/>
      <c r="N65" s="331" t="n"/>
      <c r="O65" s="331" t="n"/>
      <c r="P65" s="360" t="n"/>
      <c r="Q65" s="331" t="n"/>
      <c r="R65" s="331" t="n"/>
      <c r="S65" s="330" t="n"/>
      <c r="T65" s="325" t="n"/>
      <c r="U65" s="326" t="n"/>
      <c r="V65" s="49" t="n"/>
    </row>
    <row r="66" ht="17.25" customHeight="1" s="47">
      <c r="A66" s="49" t="n"/>
      <c r="B66" s="19" t="n">
        <v>5</v>
      </c>
      <c r="C66" s="166" t="inlineStr">
        <is>
          <t>Расхождение по сумме поступлений и инвойса</t>
        </is>
      </c>
      <c r="D66" s="320" t="n"/>
      <c r="E66" s="249" t="inlineStr">
        <is>
          <t xml:space="preserve">1. Стоимость товара согласно таможенным документам (сумма в инвойсе) составила: </t>
        </is>
      </c>
      <c r="F66" s="322" t="n"/>
      <c r="G66" s="322" t="n"/>
      <c r="H66" s="322" t="n"/>
      <c r="I66" s="322" t="n"/>
      <c r="J66" s="322" t="n"/>
      <c r="K66" s="20">
        <f>F19</f>
        <v/>
      </c>
      <c r="L66" s="252" t="inlineStr">
        <is>
          <t>EUR</t>
        </is>
      </c>
      <c r="M66" s="322" t="n"/>
      <c r="N66" s="322" t="n"/>
      <c r="O66" s="322" t="n"/>
      <c r="P66" s="322" t="n"/>
      <c r="Q66" s="322" t="n"/>
      <c r="R66" s="322" t="n"/>
      <c r="S66" s="323" t="n"/>
      <c r="T66" s="352" t="inlineStr">
        <is>
          <t>Макеева И.В.</t>
        </is>
      </c>
      <c r="U66" s="319" t="n"/>
      <c r="V66" s="49" t="n"/>
    </row>
    <row r="67" ht="17.25" customHeight="1" s="47">
      <c r="A67" s="49" t="n"/>
      <c r="B67" s="336" t="n"/>
      <c r="C67" s="337" t="n"/>
      <c r="E67" s="254" t="inlineStr">
        <is>
          <t>2. Стоимость фактического поступившего товара с оприходованием и недостачей составила:</t>
        </is>
      </c>
      <c r="F67" s="361" t="n"/>
      <c r="G67" s="361" t="n"/>
      <c r="H67" s="361" t="n"/>
      <c r="I67" s="361" t="n"/>
      <c r="J67" s="361" t="n"/>
      <c r="K67" s="21">
        <f>K66+K40</f>
        <v/>
      </c>
      <c r="L67" s="257" t="inlineStr">
        <is>
          <t>EUR</t>
        </is>
      </c>
      <c r="M67" s="339" t="n"/>
      <c r="N67" s="339" t="n"/>
      <c r="O67" s="339" t="n"/>
      <c r="P67" s="339" t="n"/>
      <c r="Q67" s="339" t="n"/>
      <c r="R67" s="339" t="n"/>
      <c r="S67" s="340" t="n"/>
      <c r="U67" s="328" t="n"/>
      <c r="V67" s="49" t="n"/>
    </row>
    <row r="68" ht="16.5" customHeight="1" s="47" thickBot="1">
      <c r="A68" s="49" t="n"/>
      <c r="B68" s="324" t="n"/>
      <c r="C68" s="327" t="n"/>
      <c r="D68" s="325" t="n"/>
      <c r="E68" s="258" t="inlineStr">
        <is>
          <t>3. Разница в стоимости между фактическим поступлением и инвойсом составляет:</t>
        </is>
      </c>
      <c r="F68" s="362" t="n"/>
      <c r="G68" s="362" t="n"/>
      <c r="H68" s="362" t="n"/>
      <c r="I68" s="362" t="n"/>
      <c r="J68" s="362" t="n"/>
      <c r="K68" s="22">
        <f>K67-K66</f>
        <v/>
      </c>
      <c r="L68" s="261">
        <f>IF(K68&lt;0,"евро в пользу Ритет","евро в пользу Эмас")</f>
        <v/>
      </c>
      <c r="M68" s="362" t="n"/>
      <c r="N68" s="362" t="n"/>
      <c r="O68" s="362" t="n"/>
      <c r="P68" s="362" t="n"/>
      <c r="Q68" s="362" t="n"/>
      <c r="R68" s="362" t="n"/>
      <c r="S68" s="363" t="n"/>
      <c r="T68" s="325" t="n"/>
      <c r="U68" s="326" t="n"/>
      <c r="V68" s="49" t="n"/>
    </row>
    <row r="69" ht="15" customHeight="1" s="47" thickBot="1">
      <c r="A69" s="49" t="n"/>
      <c r="B69" s="72" t="n">
        <v>6</v>
      </c>
      <c r="C69" s="172" t="inlineStr">
        <is>
          <t>Затраты на доставку и ТО</t>
        </is>
      </c>
      <c r="D69" s="331" t="n"/>
      <c r="E69" s="331" t="n"/>
      <c r="F69" s="331" t="n"/>
      <c r="G69" s="331" t="n"/>
      <c r="H69" s="331" t="n"/>
      <c r="I69" s="331" t="n"/>
      <c r="J69" s="331" t="n"/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0" t="n"/>
      <c r="V69" s="6" t="n"/>
    </row>
    <row r="70" ht="59.25" customHeight="1" s="47" thickBot="1">
      <c r="A70" s="49" t="n"/>
      <c r="B70" s="336" t="n"/>
      <c r="C70" s="172" t="inlineStr">
        <is>
          <t>Инвойс</t>
        </is>
      </c>
      <c r="D70" s="320" t="n"/>
      <c r="E70" s="319" t="n"/>
      <c r="F70" s="268" t="inlineStr">
        <is>
          <t>Стоимость доставки до границы ("КВТ Сервис")</t>
        </is>
      </c>
      <c r="G70" s="345" t="n"/>
      <c r="H70" s="268" t="inlineStr">
        <is>
          <t>Стоимость доставки РФ + Брокер ("КВТ Сервис")</t>
        </is>
      </c>
      <c r="I70" s="345" t="n"/>
      <c r="J70" s="268" t="inlineStr">
        <is>
          <t>Погрузо-разгрузочные 
работы ("КВТ Сервис")</t>
        </is>
      </c>
      <c r="K70" s="345" t="n"/>
      <c r="L70" s="318" t="inlineStr">
        <is>
          <t>Таможенный сбор</t>
        </is>
      </c>
      <c r="M70" s="330" t="n"/>
      <c r="N70" s="268" t="inlineStr">
        <is>
          <t>Пошлина</t>
        </is>
      </c>
      <c r="O70" s="345" t="n"/>
      <c r="P70" s="268" t="inlineStr">
        <is>
          <t>НДС</t>
        </is>
      </c>
      <c r="Q70" s="345" t="n"/>
      <c r="R70" s="268" t="inlineStr">
        <is>
          <t>Оплатили по факту и
% от инвойса</t>
        </is>
      </c>
      <c r="S70" s="345" t="n"/>
      <c r="T70" s="49" t="n"/>
    </row>
    <row r="71" ht="22.5" customHeight="1" s="47" thickBot="1">
      <c r="A71" s="49" t="n"/>
      <c r="B71" s="336" t="n"/>
      <c r="C71" s="325" t="n"/>
      <c r="D71" s="325" t="n"/>
      <c r="E71" s="326" t="n"/>
      <c r="F71" s="23" t="inlineStr">
        <is>
          <t>доллар</t>
        </is>
      </c>
      <c r="G71" s="115" t="n"/>
      <c r="H71" s="25" t="inlineStr">
        <is>
          <t>евро</t>
        </is>
      </c>
      <c r="I71" s="24" t="n"/>
      <c r="J71" s="23" t="inlineStr">
        <is>
          <t>евро</t>
        </is>
      </c>
      <c r="K71" s="24" t="n"/>
      <c r="L71" s="23" t="inlineStr">
        <is>
          <t>евро</t>
        </is>
      </c>
      <c r="M71" s="24" t="n"/>
      <c r="N71" s="23" t="inlineStr">
        <is>
          <t>евро</t>
        </is>
      </c>
      <c r="O71" s="115" t="n"/>
      <c r="P71" s="23" t="inlineStr">
        <is>
          <t>евро</t>
        </is>
      </c>
      <c r="Q71" s="115" t="n"/>
      <c r="R71" s="23" t="inlineStr">
        <is>
          <t>евро</t>
        </is>
      </c>
      <c r="S71" s="24">
        <f>G71+I71+K71+M71+O71+Q71</f>
        <v/>
      </c>
      <c r="T71" s="49" t="n"/>
    </row>
    <row r="72" ht="22.5" customHeight="1" s="47" thickBot="1">
      <c r="A72" s="49" t="n"/>
      <c r="B72" s="336" t="n"/>
      <c r="C72" s="26" t="inlineStr">
        <is>
          <t>поставщик</t>
        </is>
      </c>
      <c r="D72" s="27" t="inlineStr">
        <is>
          <t>евро</t>
        </is>
      </c>
      <c r="E72" s="269" t="inlineStr">
        <is>
          <t>%</t>
        </is>
      </c>
      <c r="F72" s="18" t="inlineStr">
        <is>
          <t>рубли</t>
        </is>
      </c>
      <c r="G72" s="314" t="n">
        <v>169988.26</v>
      </c>
      <c r="H72" s="28" t="inlineStr">
        <is>
          <t>рубли</t>
        </is>
      </c>
      <c r="I72" s="314" t="n">
        <v>347558.85</v>
      </c>
      <c r="J72" s="18" t="inlineStr">
        <is>
          <t>рубли</t>
        </is>
      </c>
      <c r="K72" s="314" t="n">
        <v>66500</v>
      </c>
      <c r="L72" s="18" t="inlineStr">
        <is>
          <t>рубли</t>
        </is>
      </c>
      <c r="M72" s="314" t="n">
        <v>73860</v>
      </c>
      <c r="N72" s="116" t="inlineStr">
        <is>
          <t>рубли</t>
        </is>
      </c>
      <c r="O72" s="314" t="n">
        <v>176989.31</v>
      </c>
      <c r="P72" s="116" t="inlineStr">
        <is>
          <t>рубли</t>
        </is>
      </c>
      <c r="Q72" s="314" t="n">
        <v>656100.41</v>
      </c>
      <c r="R72" s="116" t="inlineStr">
        <is>
          <t>рубли</t>
        </is>
      </c>
      <c r="S72" s="117">
        <f>G72+I72+K72+M72+O72+Q72</f>
        <v/>
      </c>
      <c r="T72" s="49" t="n"/>
    </row>
    <row r="73" ht="22.5" customHeight="1" s="47" thickBot="1">
      <c r="A73" s="49" t="n"/>
      <c r="B73" s="324" t="n"/>
      <c r="C73" s="152" t="inlineStr">
        <is>
          <t>Cetinkaya Pano</t>
        </is>
      </c>
      <c r="D73" s="364">
        <f>F19</f>
        <v/>
      </c>
      <c r="E73" s="330" t="n"/>
      <c r="F73" s="29" t="inlineStr">
        <is>
          <t>%</t>
        </is>
      </c>
      <c r="G73" s="30">
        <f>(G71*U79+G72)*100/(D73*U79)</f>
        <v/>
      </c>
      <c r="H73" s="31" t="inlineStr">
        <is>
          <t>%</t>
        </is>
      </c>
      <c r="I73" s="30">
        <f>(I71*U79+I72)*100/(D73*U79)</f>
        <v/>
      </c>
      <c r="J73" s="29" t="inlineStr">
        <is>
          <t>%</t>
        </is>
      </c>
      <c r="K73" s="30">
        <f>(K71*U79+K72)*100/(D73*U79)</f>
        <v/>
      </c>
      <c r="L73" s="29" t="inlineStr">
        <is>
          <t>%</t>
        </is>
      </c>
      <c r="M73" s="30">
        <f>(M71*U79+M72)*100/(D73*U79)</f>
        <v/>
      </c>
      <c r="N73" s="118" t="inlineStr">
        <is>
          <t>%</t>
        </is>
      </c>
      <c r="O73" s="119">
        <f>(O71*U79+O72)*100/(D73*U79)</f>
        <v/>
      </c>
      <c r="P73" s="118" t="inlineStr">
        <is>
          <t>%</t>
        </is>
      </c>
      <c r="Q73" s="119">
        <f>(Q71*U79+Q72)*100/(D73*U79)</f>
        <v/>
      </c>
      <c r="R73" s="118" t="inlineStr">
        <is>
          <t>%</t>
        </is>
      </c>
      <c r="S73" s="119">
        <f>(S71*U79+S72)*100/(D73*U79)</f>
        <v/>
      </c>
      <c r="T73" s="49" t="n"/>
    </row>
    <row r="74" ht="16.5" customHeight="1" s="47" thickBot="1">
      <c r="A74" s="49" t="n"/>
      <c r="B74" s="16" t="n"/>
      <c r="C74" s="16" t="n"/>
      <c r="D74" s="33" t="n"/>
      <c r="E74" s="33" t="n"/>
      <c r="F74" s="33" t="n"/>
      <c r="G74" s="33" t="n"/>
      <c r="H74" s="34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16" t="n"/>
      <c r="V74" s="49" t="n"/>
    </row>
    <row r="75" ht="21" customHeight="1" s="47">
      <c r="A75" s="49" t="n"/>
      <c r="B75" s="16" t="n"/>
      <c r="C75" s="16" t="n"/>
      <c r="D75" s="33" t="n"/>
      <c r="E75" s="33" t="n"/>
      <c r="F75" s="33" t="n"/>
      <c r="G75" s="33" t="n"/>
      <c r="H75" s="34" t="n"/>
      <c r="I75" s="33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65" t="inlineStr">
        <is>
          <t>Курс валют на:</t>
        </is>
      </c>
      <c r="T75" s="320" t="n"/>
      <c r="U75" s="319" t="n"/>
      <c r="V75" s="6" t="n"/>
    </row>
    <row r="76" ht="21" customHeight="1" s="47" thickBot="1">
      <c r="A76" s="49" t="n"/>
      <c r="B76" s="16" t="n"/>
      <c r="C76" s="16" t="n"/>
      <c r="D76" s="36" t="n"/>
      <c r="E76" s="51" t="inlineStr">
        <is>
          <t xml:space="preserve">Начальник склада:  </t>
        </is>
      </c>
      <c r="F76" s="315" t="inlineStr">
        <is>
          <t>"14" сентября 2026г.</t>
        </is>
      </c>
      <c r="G76" s="50" t="n"/>
      <c r="H76" s="17" t="n"/>
      <c r="I76" s="38" t="n"/>
      <c r="J76" s="38" t="n"/>
      <c r="K76" s="51" t="inlineStr">
        <is>
          <t>/А.И. Никулин</t>
        </is>
      </c>
      <c r="L76" s="51" t="n"/>
      <c r="M76" s="35" t="n"/>
      <c r="N76" s="35" t="n"/>
      <c r="O76" s="16" t="n"/>
      <c r="P76" s="16" t="n"/>
      <c r="Q76" s="16" t="n"/>
      <c r="R76" s="16" t="n"/>
      <c r="S76" s="55" t="n"/>
      <c r="T76" s="56">
        <f>F16</f>
        <v/>
      </c>
      <c r="U76" s="54" t="inlineStr">
        <is>
          <t>г.</t>
        </is>
      </c>
      <c r="V76" s="49" t="n"/>
    </row>
    <row r="77" ht="20.25" customHeight="1" s="47" thickBot="1">
      <c r="A77" s="49" t="n"/>
      <c r="B77" s="16" t="n"/>
      <c r="C77" s="16" t="n"/>
      <c r="D77" s="33" t="n"/>
      <c r="E77" s="33" t="n"/>
      <c r="F77" s="33" t="n"/>
      <c r="G77" s="33" t="n"/>
      <c r="H77" s="34" t="n"/>
      <c r="I77" s="33" t="n"/>
      <c r="J77" s="33" t="n"/>
      <c r="K77" s="33" t="n"/>
      <c r="L77" s="35" t="n"/>
      <c r="M77" s="35" t="n"/>
      <c r="N77" s="35" t="n"/>
      <c r="O77" s="35" t="n"/>
      <c r="P77" s="35" t="n"/>
      <c r="Q77" s="35" t="n"/>
      <c r="R77" s="35" t="n"/>
      <c r="S77" s="318" t="inlineStr">
        <is>
          <t>валюта</t>
        </is>
      </c>
      <c r="T77" s="330" t="n"/>
      <c r="U77" s="172" t="inlineStr">
        <is>
          <t>₱ рубль</t>
        </is>
      </c>
      <c r="V77" s="49" t="n"/>
    </row>
    <row r="78" ht="15.75" customHeight="1" s="47">
      <c r="A78" s="49" t="n"/>
      <c r="B78" s="16" t="n"/>
      <c r="C78" s="16" t="n"/>
      <c r="D78" s="16" t="n"/>
      <c r="E78" s="16" t="n"/>
      <c r="F78" s="16" t="n"/>
      <c r="G78" s="16" t="n"/>
      <c r="H78" s="17" t="n"/>
      <c r="I78" s="16" t="n"/>
      <c r="J78" s="16" t="n"/>
      <c r="K78" s="16" t="n"/>
      <c r="L78" s="35" t="n"/>
      <c r="M78" s="35" t="n"/>
      <c r="N78" s="35" t="n"/>
      <c r="O78" s="35" t="n"/>
      <c r="P78" s="35" t="n"/>
      <c r="Q78" s="35" t="n"/>
      <c r="R78" s="35" t="n"/>
      <c r="S78" s="262" t="inlineStr">
        <is>
          <t>1$ доллар</t>
        </is>
      </c>
      <c r="T78" s="339" t="n"/>
      <c r="U78" s="366" t="n">
        <v>82.9211</v>
      </c>
      <c r="V78" s="49" t="n"/>
    </row>
    <row r="79" ht="15.75" customHeight="1" s="47">
      <c r="A79" s="49" t="n"/>
      <c r="B79" s="16" t="n"/>
      <c r="C79" s="16" t="n"/>
      <c r="D79" s="36" t="n"/>
      <c r="E79" s="51" t="inlineStr">
        <is>
          <t>Продакт-менеджер:</t>
        </is>
      </c>
      <c r="F79" s="315" t="inlineStr">
        <is>
          <t>"14" сентября 2026г.</t>
        </is>
      </c>
      <c r="G79" s="50" t="n"/>
      <c r="H79" s="17" t="n"/>
      <c r="I79" s="38" t="n"/>
      <c r="J79" s="38" t="n"/>
      <c r="K79" s="39" t="inlineStr">
        <is>
          <t>/ И.В. Макеева</t>
        </is>
      </c>
      <c r="L79" s="39" t="n"/>
      <c r="M79" s="35" t="n"/>
      <c r="N79" s="35" t="n"/>
      <c r="O79" s="35" t="n"/>
      <c r="P79" s="35" t="n"/>
      <c r="Q79" s="35" t="n"/>
      <c r="R79" s="35" t="n"/>
      <c r="S79" s="262" t="inlineStr">
        <is>
          <t>1евро</t>
        </is>
      </c>
      <c r="T79" s="339" t="n"/>
      <c r="U79" s="367" t="n">
        <v>96.8601</v>
      </c>
      <c r="V79" s="49" t="n"/>
    </row>
    <row r="80" ht="16.5" customHeight="1" s="47" thickBot="1">
      <c r="A80" s="49" t="n"/>
      <c r="B80" s="16" t="n"/>
      <c r="C80" s="16" t="n"/>
      <c r="D80" s="16" t="n"/>
      <c r="E80" s="16" t="n"/>
      <c r="F80" s="16" t="n"/>
      <c r="G80" s="16" t="n"/>
      <c r="H80" s="17" t="n"/>
      <c r="I80" s="16" t="n"/>
      <c r="J80" s="16" t="n"/>
      <c r="K80" s="16" t="n"/>
      <c r="L80" s="35" t="n"/>
      <c r="M80" s="35" t="n"/>
      <c r="N80" s="35" t="n"/>
      <c r="O80" s="35" t="n"/>
      <c r="P80" s="35" t="n"/>
      <c r="Q80" s="35" t="n"/>
      <c r="R80" s="35" t="n"/>
      <c r="S80" s="264" t="inlineStr">
        <is>
          <t>К =1€ / 1$</t>
        </is>
      </c>
      <c r="T80" s="362" t="n"/>
      <c r="U80" s="40">
        <f>U79/U78</f>
        <v/>
      </c>
      <c r="V80" s="49" t="n"/>
    </row>
    <row r="81" ht="15.75" customHeight="1" s="47">
      <c r="A81" s="49" t="n"/>
      <c r="B81" s="16" t="n"/>
      <c r="C81" s="16" t="n"/>
      <c r="D81" s="16" t="n"/>
      <c r="E81" s="16" t="n"/>
      <c r="F81" s="16" t="n"/>
      <c r="G81" s="16" t="n"/>
      <c r="H81" s="17" t="n"/>
      <c r="I81" s="16" t="n"/>
      <c r="J81" s="16" t="n"/>
      <c r="K81" s="16" t="n"/>
      <c r="L81" s="33" t="n"/>
      <c r="M81" s="33" t="n"/>
      <c r="N81" s="33" t="n"/>
      <c r="O81" s="33" t="n"/>
      <c r="P81" s="33" t="n"/>
      <c r="Q81" s="33" t="n"/>
      <c r="R81" s="33" t="n"/>
      <c r="S81" s="35" t="n"/>
      <c r="T81" s="33" t="n"/>
      <c r="U81" s="16" t="n"/>
      <c r="V81" s="49" t="n"/>
    </row>
    <row r="82" ht="15.75" customHeight="1" s="47">
      <c r="A82" s="49" t="n"/>
      <c r="B82" s="16" t="n"/>
      <c r="C82" s="16" t="n"/>
      <c r="D82" s="36" t="n"/>
      <c r="E82" s="51" t="inlineStr">
        <is>
          <t>Главный бухгалтер:</t>
        </is>
      </c>
      <c r="F82" s="315" t="inlineStr">
        <is>
          <t>"14" сентября 2026г.</t>
        </is>
      </c>
      <c r="G82" s="50" t="n"/>
      <c r="H82" s="17" t="n"/>
      <c r="I82" s="38" t="n"/>
      <c r="J82" s="38" t="n"/>
      <c r="K82" s="51" t="inlineStr">
        <is>
          <t>/ А.С. Мосеенков</t>
        </is>
      </c>
      <c r="L82" s="51" t="n"/>
      <c r="M82" s="16" t="n"/>
      <c r="N82" s="16" t="n"/>
      <c r="O82" s="16" t="n"/>
      <c r="P82" s="16" t="n"/>
      <c r="Q82" s="16" t="n"/>
      <c r="R82" s="16" t="n"/>
      <c r="S82" s="33" t="n"/>
      <c r="T82" s="33" t="n"/>
      <c r="U82" s="16" t="n"/>
      <c r="V82" s="49" t="n"/>
    </row>
    <row r="83" ht="15.75" customHeight="1" s="47">
      <c r="A83" s="49" t="n"/>
      <c r="B83" s="16" t="n"/>
      <c r="C83" s="16" t="n"/>
      <c r="D83" s="16" t="n"/>
      <c r="E83" s="16" t="n"/>
      <c r="F83" s="16" t="n"/>
      <c r="G83" s="16" t="n"/>
      <c r="H83" s="17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49" t="n"/>
    </row>
    <row r="84">
      <c r="B84" s="9" t="n"/>
      <c r="C84" s="9" t="n"/>
      <c r="D84" s="9" t="n"/>
      <c r="E84" s="9" t="n"/>
      <c r="F84" s="9" t="n"/>
      <c r="G84" s="9" t="n"/>
      <c r="H84" s="3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>
      <c r="B85" s="9" t="n"/>
      <c r="C85" s="9" t="n"/>
      <c r="D85" s="9" t="n"/>
      <c r="E85" s="9" t="n"/>
      <c r="F85" s="9" t="n"/>
      <c r="G85" s="9" t="n"/>
      <c r="H85" s="3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</row>
    <row r="86">
      <c r="B86" s="9" t="n"/>
      <c r="C86" s="9" t="n"/>
      <c r="D86" s="9" t="n"/>
      <c r="E86" s="9" t="n"/>
      <c r="F86" s="9" t="n"/>
      <c r="G86" s="9" t="n"/>
      <c r="H86" s="3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>
      <c r="B87" s="9" t="n"/>
      <c r="C87" s="9" t="n"/>
      <c r="D87" s="9" t="n"/>
      <c r="E87" s="9" t="n"/>
      <c r="F87" s="9" t="n"/>
      <c r="G87" s="9" t="n"/>
      <c r="H87" s="3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</row>
    <row r="94">
      <c r="J94" s="6" t="n"/>
    </row>
    <row r="95">
      <c r="M95" s="7" t="n"/>
    </row>
    <row r="96">
      <c r="J96" s="6" t="n"/>
    </row>
    <row r="97">
      <c r="M97" s="7" t="n"/>
    </row>
  </sheetData>
  <mergeCells count="133">
    <mergeCell ref="P25:S26"/>
    <mergeCell ref="P57:S57"/>
    <mergeCell ref="L50:O50"/>
    <mergeCell ref="L56:O56"/>
    <mergeCell ref="L34:O34"/>
    <mergeCell ref="E42:K43"/>
    <mergeCell ref="L52:O52"/>
    <mergeCell ref="L41:O41"/>
    <mergeCell ref="L49:O49"/>
    <mergeCell ref="L27:O27"/>
    <mergeCell ref="G40:J40"/>
    <mergeCell ref="L36:O36"/>
    <mergeCell ref="C41:D41"/>
    <mergeCell ref="T28:U40"/>
    <mergeCell ref="L42:O43"/>
    <mergeCell ref="F70:G70"/>
    <mergeCell ref="E65:F65"/>
    <mergeCell ref="P70:Q70"/>
    <mergeCell ref="B23:U23"/>
    <mergeCell ref="L53:O53"/>
    <mergeCell ref="R70:S70"/>
    <mergeCell ref="L28:O28"/>
    <mergeCell ref="P44:S44"/>
    <mergeCell ref="C42:D65"/>
    <mergeCell ref="C27:D27"/>
    <mergeCell ref="P59:S59"/>
    <mergeCell ref="T41:U41"/>
    <mergeCell ref="P46:S46"/>
    <mergeCell ref="B14:E14"/>
    <mergeCell ref="L45:O45"/>
    <mergeCell ref="P61:S61"/>
    <mergeCell ref="P39:S39"/>
    <mergeCell ref="B15:F15"/>
    <mergeCell ref="D73:E73"/>
    <mergeCell ref="P48:S48"/>
    <mergeCell ref="L55:O55"/>
    <mergeCell ref="B25:B26"/>
    <mergeCell ref="C66:D68"/>
    <mergeCell ref="T27:U27"/>
    <mergeCell ref="P32:S32"/>
    <mergeCell ref="C25:D26"/>
    <mergeCell ref="P6:U6"/>
    <mergeCell ref="L31:O31"/>
    <mergeCell ref="P47:S47"/>
    <mergeCell ref="L40:O40"/>
    <mergeCell ref="D19:E19"/>
    <mergeCell ref="L67:S67"/>
    <mergeCell ref="L65:O65"/>
    <mergeCell ref="B16:E16"/>
    <mergeCell ref="E40:F40"/>
    <mergeCell ref="B17:F17"/>
    <mergeCell ref="P50:S50"/>
    <mergeCell ref="L57:O57"/>
    <mergeCell ref="L25:O26"/>
    <mergeCell ref="P60:S60"/>
    <mergeCell ref="J25:J26"/>
    <mergeCell ref="P52:S52"/>
    <mergeCell ref="B21:T21"/>
    <mergeCell ref="L30:O30"/>
    <mergeCell ref="T66:U68"/>
    <mergeCell ref="B13:T13"/>
    <mergeCell ref="L29:O29"/>
    <mergeCell ref="G65:J65"/>
    <mergeCell ref="L70:M70"/>
    <mergeCell ref="N70:O70"/>
    <mergeCell ref="L44:O44"/>
    <mergeCell ref="P2:U2"/>
    <mergeCell ref="L59:O59"/>
    <mergeCell ref="B7:U7"/>
    <mergeCell ref="L46:O46"/>
    <mergeCell ref="B42:B65"/>
    <mergeCell ref="P62:S62"/>
    <mergeCell ref="L66:S66"/>
    <mergeCell ref="E41:K41"/>
    <mergeCell ref="S77:T77"/>
    <mergeCell ref="P58:S58"/>
    <mergeCell ref="L61:O61"/>
    <mergeCell ref="P55:S55"/>
    <mergeCell ref="L48:O48"/>
    <mergeCell ref="P64:S64"/>
    <mergeCell ref="L68:S68"/>
    <mergeCell ref="C69:U69"/>
    <mergeCell ref="B66:B68"/>
    <mergeCell ref="P51:S51"/>
    <mergeCell ref="L32:O32"/>
    <mergeCell ref="B28:B40"/>
    <mergeCell ref="P63:S63"/>
    <mergeCell ref="P41:S41"/>
    <mergeCell ref="S78:T78"/>
    <mergeCell ref="L47:O47"/>
    <mergeCell ref="T42:U65"/>
    <mergeCell ref="E66:J66"/>
    <mergeCell ref="P56:S56"/>
    <mergeCell ref="S75:U75"/>
    <mergeCell ref="B12:T12"/>
    <mergeCell ref="S80:T80"/>
    <mergeCell ref="L33:O33"/>
    <mergeCell ref="P49:S49"/>
    <mergeCell ref="E68:J68"/>
    <mergeCell ref="P27:S27"/>
    <mergeCell ref="E67:J67"/>
    <mergeCell ref="L35:O35"/>
    <mergeCell ref="L58:O58"/>
    <mergeCell ref="P42:S43"/>
    <mergeCell ref="B69:B73"/>
    <mergeCell ref="T25:U26"/>
    <mergeCell ref="P53:S53"/>
    <mergeCell ref="L60:O60"/>
    <mergeCell ref="P45:S45"/>
    <mergeCell ref="P54:S54"/>
    <mergeCell ref="E28:F28"/>
    <mergeCell ref="C28:D40"/>
    <mergeCell ref="P3:U3"/>
    <mergeCell ref="H70:I70"/>
    <mergeCell ref="E25:F26"/>
    <mergeCell ref="J70:K70"/>
    <mergeCell ref="G25:I25"/>
    <mergeCell ref="B8:U8"/>
    <mergeCell ref="P31:S31"/>
    <mergeCell ref="P40:S40"/>
    <mergeCell ref="L62:O62"/>
    <mergeCell ref="P4:U4"/>
    <mergeCell ref="B11:T11"/>
    <mergeCell ref="P65:S65"/>
    <mergeCell ref="B9:U9"/>
    <mergeCell ref="L64:O64"/>
    <mergeCell ref="K25:K26"/>
    <mergeCell ref="L51:O51"/>
    <mergeCell ref="C70:E71"/>
    <mergeCell ref="S79:T79"/>
    <mergeCell ref="L54:O54"/>
    <mergeCell ref="L63:O63"/>
    <mergeCell ref="E27:K27"/>
  </mergeCells>
  <pageMargins left="0.2362204724409449" right="0.2362204724409449" top="0.3543307086614174" bottom="0.1574803149606299" header="0.3149606299212598" footer="0.3149606299212598"/>
  <pageSetup orientation="landscape" paperSize="9" scale="50" fitToHeight="2"/>
  <rowBreaks count="1" manualBreakCount="1">
    <brk id="65" min="0" max="20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L17" sqref="L17"/>
    </sheetView>
  </sheetViews>
  <sheetFormatPr baseColWidth="8" defaultRowHeight="15"/>
  <cols>
    <col width="15.7109375" bestFit="1" customWidth="1" style="47" min="1" max="1"/>
    <col width="20.28515625" bestFit="1" customWidth="1" style="47" min="2" max="2"/>
    <col width="4.140625" customWidth="1" style="47" min="3" max="3"/>
    <col width="13.140625" customWidth="1" style="47" min="4" max="4"/>
    <col width="16.42578125" customWidth="1" style="47" min="5" max="5"/>
    <col width="12.7109375" bestFit="1" customWidth="1" style="47" min="6" max="6"/>
    <col width="14" customWidth="1" style="47" min="7" max="7"/>
    <col width="18" bestFit="1" customWidth="1" style="47" min="8" max="8"/>
    <col width="11.28515625" bestFit="1" customWidth="1" style="47" min="9" max="9"/>
    <col width="12.7109375" bestFit="1" customWidth="1" style="47" min="10" max="10"/>
    <col width="10.140625" bestFit="1" customWidth="1" style="47" min="11" max="11"/>
    <col width="12.7109375" bestFit="1" customWidth="1" style="47" min="12" max="12"/>
    <col width="13.140625" bestFit="1" customWidth="1" style="47" min="13" max="15"/>
    <col width="13.140625" customWidth="1" style="47" min="16" max="16"/>
    <col width="13.140625" bestFit="1" customWidth="1" style="47" min="17" max="17"/>
    <col width="13.7109375" bestFit="1" customWidth="1" style="47" min="18" max="18"/>
  </cols>
  <sheetData>
    <row r="1" ht="15.75" customHeight="1" s="47">
      <c r="A1" s="69" t="inlineStr">
        <is>
          <t>Курс валют на:</t>
        </is>
      </c>
    </row>
    <row r="2" ht="16.5" customHeight="1" s="47" thickBot="1">
      <c r="A2" s="80">
        <f>'СР отгрузка 1 в 26'!F16</f>
        <v/>
      </c>
    </row>
    <row r="3" ht="16.5" customHeight="1" s="47" thickBot="1">
      <c r="A3" s="64" t="inlineStr">
        <is>
          <t>Валюта</t>
        </is>
      </c>
      <c r="B3" s="172" t="inlineStr">
        <is>
          <t>₱ рубль</t>
        </is>
      </c>
      <c r="U3" s="49" t="n"/>
    </row>
    <row r="4" ht="15.75" customHeight="1" s="47">
      <c r="A4" s="78" t="inlineStr">
        <is>
          <t>1$ доллар</t>
        </is>
      </c>
      <c r="B4" s="368">
        <f>'СР отгрузка 1 в 26'!U78</f>
        <v/>
      </c>
      <c r="U4" s="49" t="n"/>
    </row>
    <row r="5" ht="15.75" customHeight="1" s="47">
      <c r="A5" s="62" t="inlineStr">
        <is>
          <t>1евро</t>
        </is>
      </c>
      <c r="B5" s="369">
        <f>'СР отгрузка 1 в 26'!U79</f>
        <v/>
      </c>
      <c r="U5" s="49" t="n"/>
    </row>
    <row r="6" ht="16.5" customHeight="1" s="47" thickBot="1">
      <c r="A6" s="67" t="inlineStr">
        <is>
          <t>К =1€ / 1$</t>
        </is>
      </c>
      <c r="B6" s="77">
        <f>B5/B4</f>
        <v/>
      </c>
      <c r="C6" s="33" t="n"/>
      <c r="U6" s="49" t="n"/>
    </row>
    <row r="7" ht="16.5" customHeight="1" s="47" thickBot="1">
      <c r="A7" s="16" t="n"/>
      <c r="B7" s="33" t="n"/>
      <c r="C7" s="33" t="n"/>
      <c r="D7" s="33" t="n"/>
      <c r="E7" s="34" t="n"/>
      <c r="F7" s="33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</row>
    <row r="8" ht="16.5" customHeight="1" s="47" thickBot="1">
      <c r="A8" s="370" t="inlineStr">
        <is>
          <t>Затраты на доставку и ТО</t>
        </is>
      </c>
      <c r="B8" s="331" t="n"/>
      <c r="C8" s="331" t="n"/>
      <c r="D8" s="331" t="n"/>
      <c r="E8" s="331" t="n"/>
      <c r="F8" s="331" t="n"/>
      <c r="G8" s="331" t="n"/>
      <c r="H8" s="331" t="n"/>
      <c r="I8" s="331" t="n"/>
      <c r="J8" s="331" t="n"/>
      <c r="K8" s="331" t="n"/>
      <c r="L8" s="331" t="n"/>
      <c r="M8" s="331" t="n"/>
      <c r="N8" s="331" t="n"/>
      <c r="O8" s="331" t="n"/>
      <c r="P8" s="331" t="n"/>
      <c r="Q8" s="330" t="n"/>
    </row>
    <row r="9" ht="33" customHeight="1" s="47" thickBot="1">
      <c r="A9" s="318" t="inlineStr">
        <is>
          <t>Инвойс</t>
        </is>
      </c>
      <c r="B9" s="320" t="n"/>
      <c r="C9" s="319" t="n"/>
      <c r="D9" s="268" t="inlineStr">
        <is>
          <t>Стоимость доставки до границы ("КВТ Сервис")</t>
        </is>
      </c>
      <c r="E9" s="345" t="n"/>
      <c r="F9" s="268" t="inlineStr">
        <is>
          <t>Стоимость доставки РФ + Брокер ("КВТ Сервис")</t>
        </is>
      </c>
      <c r="G9" s="345" t="n"/>
      <c r="H9" s="268" t="inlineStr">
        <is>
          <t>Погрузо-разгрузочные 
работы ("КВТ Сервис")</t>
        </is>
      </c>
      <c r="I9" s="345" t="n"/>
      <c r="J9" s="318" t="inlineStr">
        <is>
          <t>Таможенный сбор</t>
        </is>
      </c>
      <c r="K9" s="330" t="n"/>
      <c r="L9" s="268" t="inlineStr">
        <is>
          <t>Пошлина</t>
        </is>
      </c>
      <c r="M9" s="345" t="n"/>
      <c r="N9" s="268" t="inlineStr">
        <is>
          <t>НДС</t>
        </is>
      </c>
      <c r="O9" s="345" t="n"/>
      <c r="P9" s="268" t="inlineStr">
        <is>
          <t>Оплатили по факту и
% от инвойса</t>
        </is>
      </c>
      <c r="Q9" s="345" t="n"/>
    </row>
    <row r="10" ht="16.5" customHeight="1" s="47" thickBot="1">
      <c r="A10" s="327" t="n"/>
      <c r="B10" s="325" t="n"/>
      <c r="C10" s="326" t="n"/>
      <c r="D10" s="23" t="inlineStr">
        <is>
          <t>доллар</t>
        </is>
      </c>
      <c r="E10" s="24">
        <f>'СР отгрузка 1 в 26'!G71</f>
        <v/>
      </c>
      <c r="F10" s="25" t="inlineStr">
        <is>
          <t>евро</t>
        </is>
      </c>
      <c r="G10" s="24" t="n"/>
      <c r="H10" s="23" t="inlineStr">
        <is>
          <t>евро</t>
        </is>
      </c>
      <c r="I10" s="24" t="n"/>
      <c r="J10" s="23" t="inlineStr">
        <is>
          <t>евро</t>
        </is>
      </c>
      <c r="K10" s="24" t="n"/>
      <c r="L10" s="23" t="inlineStr">
        <is>
          <t>евро</t>
        </is>
      </c>
      <c r="M10" s="24" t="n"/>
      <c r="N10" s="23" t="inlineStr">
        <is>
          <t>евро</t>
        </is>
      </c>
      <c r="O10" s="24" t="n"/>
      <c r="P10" s="23" t="inlineStr">
        <is>
          <t>евро</t>
        </is>
      </c>
      <c r="Q10" s="24">
        <f>E10+G10+I10+K10+M10+O10</f>
        <v/>
      </c>
    </row>
    <row r="11" ht="16.5" customHeight="1" s="47" thickBot="1">
      <c r="A11" s="72" t="inlineStr">
        <is>
          <t>поставщик</t>
        </is>
      </c>
      <c r="B11" s="26" t="inlineStr">
        <is>
          <t>евро</t>
        </is>
      </c>
      <c r="C11" s="269" t="inlineStr">
        <is>
          <t>%</t>
        </is>
      </c>
      <c r="D11" s="18" t="inlineStr">
        <is>
          <t>рубли</t>
        </is>
      </c>
      <c r="E11" s="53">
        <f>'СР отгрузка 1 в 26'!G72</f>
        <v/>
      </c>
      <c r="F11" s="28" t="inlineStr">
        <is>
          <t>рубли</t>
        </is>
      </c>
      <c r="G11" s="53">
        <f>'СР отгрузка 1 в 26'!I72</f>
        <v/>
      </c>
      <c r="H11" s="18" t="inlineStr">
        <is>
          <t>рубли</t>
        </is>
      </c>
      <c r="I11" s="53">
        <f>'СР отгрузка 1 в 26'!K72</f>
        <v/>
      </c>
      <c r="J11" s="18" t="inlineStr">
        <is>
          <t>рубли</t>
        </is>
      </c>
      <c r="K11" s="53">
        <f>'СР отгрузка 1 в 26'!M72</f>
        <v/>
      </c>
      <c r="L11" s="18" t="inlineStr">
        <is>
          <t>рубли</t>
        </is>
      </c>
      <c r="M11" s="53">
        <f>'СР отгрузка 1 в 26'!O72</f>
        <v/>
      </c>
      <c r="N11" s="18" t="inlineStr">
        <is>
          <t>рубли</t>
        </is>
      </c>
      <c r="O11" s="53">
        <f>'СР отгрузка 1 в 26'!Q72</f>
        <v/>
      </c>
      <c r="P11" s="18" t="inlineStr">
        <is>
          <t>рубли</t>
        </is>
      </c>
      <c r="Q11" s="53">
        <f>E11+G11+I11+K11+M11+O11</f>
        <v/>
      </c>
    </row>
    <row r="12" ht="16.5" customHeight="1" s="47" thickBot="1">
      <c r="A12" s="72" t="inlineStr">
        <is>
          <t>EMAS</t>
        </is>
      </c>
      <c r="B12" s="371">
        <f>'СР отгрузка 1 в 26'!F19</f>
        <v/>
      </c>
      <c r="C12" s="330" t="n"/>
      <c r="D12" s="29" t="inlineStr">
        <is>
          <t>%</t>
        </is>
      </c>
      <c r="E12" s="30">
        <f>(E10*B5+E11)*100/(B12*B5)</f>
        <v/>
      </c>
      <c r="F12" s="31" t="inlineStr">
        <is>
          <t>%</t>
        </is>
      </c>
      <c r="G12" s="30">
        <f>(G10*B5+G11)*100/(B12*B5)</f>
        <v/>
      </c>
      <c r="H12" s="29" t="inlineStr">
        <is>
          <t>%</t>
        </is>
      </c>
      <c r="I12" s="30">
        <f>(I10*B5+I11)*100/(B12*B5)</f>
        <v/>
      </c>
      <c r="J12" s="29" t="inlineStr">
        <is>
          <t>%</t>
        </is>
      </c>
      <c r="K12" s="30">
        <f>(K10*B5+K11)*100/(B12*B5)</f>
        <v/>
      </c>
      <c r="L12" s="29" t="inlineStr">
        <is>
          <t>%</t>
        </is>
      </c>
      <c r="M12" s="30">
        <f>(M10*B5+M11)*100/(B12*B5)</f>
        <v/>
      </c>
      <c r="N12" s="29" t="inlineStr">
        <is>
          <t>%</t>
        </is>
      </c>
      <c r="O12" s="30">
        <f>(O10*B5+O11)*100/(B12*B5)</f>
        <v/>
      </c>
      <c r="P12" s="29" t="inlineStr">
        <is>
          <t>%</t>
        </is>
      </c>
      <c r="Q12" s="30">
        <f>(Q10*B5+Q11)*100/(B12*B5)</f>
        <v/>
      </c>
    </row>
    <row r="13" ht="15.75" customHeight="1" s="47">
      <c r="A13" s="16" t="n"/>
    </row>
    <row r="14" ht="15.75" customHeight="1" s="47">
      <c r="A14" s="16" t="n"/>
      <c r="J14" s="51" t="inlineStr">
        <is>
          <t>Продакт-менеджер:</t>
        </is>
      </c>
      <c r="L14" s="50">
        <f>'СР отгрузка 1 в 26'!F76</f>
        <v/>
      </c>
      <c r="M14" s="50" t="n"/>
      <c r="N14" s="38" t="n"/>
      <c r="O14" s="38" t="n"/>
      <c r="P14" s="51" t="inlineStr">
        <is>
          <t>/ Макеева И.В.</t>
        </is>
      </c>
    </row>
    <row r="15" ht="15.75" customHeight="1" s="47">
      <c r="A15" s="16" t="n"/>
      <c r="J15" s="16" t="n"/>
      <c r="L15" s="16" t="n"/>
      <c r="M15" s="16" t="n"/>
      <c r="N15" s="16" t="n"/>
      <c r="O15" s="16" t="n"/>
      <c r="P15" s="16" t="n"/>
    </row>
    <row r="16" ht="15.75" customHeight="1" s="47">
      <c r="J16" s="16" t="n"/>
      <c r="L16" s="16" t="n"/>
      <c r="M16" s="16" t="n"/>
      <c r="N16" s="16" t="n"/>
      <c r="O16" s="16" t="n"/>
      <c r="P16" s="16" t="n"/>
    </row>
    <row r="17" ht="15.75" customHeight="1" s="47">
      <c r="J17" s="51" t="inlineStr">
        <is>
          <t>Главный бухгалтер:</t>
        </is>
      </c>
      <c r="L17" s="50" t="inlineStr">
        <is>
          <t>"  " апреля 2026 г.</t>
        </is>
      </c>
      <c r="M17" s="50" t="n"/>
      <c r="N17" s="38" t="n"/>
      <c r="O17" s="38" t="n"/>
      <c r="P17" s="51" t="inlineStr">
        <is>
          <t>/ Мосеенков А.С.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 ht="15.75" customHeight="1" s="47">
      <c r="B38" s="16" t="n"/>
      <c r="C38" s="16" t="n"/>
      <c r="D38" s="16" t="n"/>
      <c r="E38" s="17" t="n"/>
      <c r="F38" s="16" t="n"/>
      <c r="G38" s="16" t="n"/>
      <c r="H38" s="16" t="n"/>
    </row>
  </sheetData>
  <mergeCells count="10">
    <mergeCell ref="A8:Q8"/>
    <mergeCell ref="N9:O9"/>
    <mergeCell ref="P9:Q9"/>
    <mergeCell ref="B12:C12"/>
    <mergeCell ref="A9:C10"/>
    <mergeCell ref="D9:E9"/>
    <mergeCell ref="H9:I9"/>
    <mergeCell ref="F9:G9"/>
    <mergeCell ref="L9:M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</dc:creator>
  <dcterms:created xsi:type="dcterms:W3CDTF">2015-06-19T06:33:16Z</dcterms:created>
  <dcterms:modified xsi:type="dcterms:W3CDTF">2026-09-24T00:07:16Z</dcterms:modified>
  <cp:lastModifiedBy>Репина</cp:lastModifiedBy>
  <cp:lastPrinted>2026-07-14T10:13:22Z</cp:lastPrinted>
</cp:coreProperties>
</file>