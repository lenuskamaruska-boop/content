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20.3\обмен_босфор\О продукции\Машины\2026\2026 Четинкая Пано 1 (забор 17.07.26, ЧЗ с ТЗ для ИМ70)\Акт приёмки, обратный инвойс Приемка № 1 в 26\для примера\"/>
    </mc:Choice>
  </mc:AlternateContent>
  <xr:revisionPtr revIDLastSave="0" documentId="13_ncr:1_{BC054F6C-567B-4940-8419-DD0124B6A31B}" xr6:coauthVersionLast="45" xr6:coauthVersionMax="45" xr10:uidLastSave="{00000000-0000-0000-0000-000000000000}"/>
  <bookViews>
    <workbookView xWindow="2355" yWindow="120" windowWidth="17325" windowHeight="14955" tabRatio="678" activeTab="1" xr2:uid="{00000000-000D-0000-FFFF-FFFF00000000}"/>
  </bookViews>
  <sheets>
    <sheet name="1" sheetId="5" r:id="rId1"/>
    <sheet name="Лист1" sheetId="6" r:id="rId2"/>
  </sheets>
  <definedNames>
    <definedName name="_xlnm._FilterDatabase" localSheetId="1" hidden="1">Лист1!$A$1:$D$131</definedName>
  </definedNames>
  <calcPr calcId="191029" refMode="R1C1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31" i="6" l="1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 l="1"/>
</calcChain>
</file>

<file path=xl/sharedStrings.xml><?xml version="1.0" encoding="utf-8"?>
<sst xmlns="http://schemas.openxmlformats.org/spreadsheetml/2006/main" count="532" uniqueCount="265">
  <si>
    <t>Модель</t>
  </si>
  <si>
    <t>Наименование товара</t>
  </si>
  <si>
    <t>Кол-во, шт</t>
  </si>
  <si>
    <t>CP6010</t>
  </si>
  <si>
    <t>CWD 1080G</t>
  </si>
  <si>
    <t>CWD 2540G</t>
  </si>
  <si>
    <t>CWD 2580G</t>
  </si>
  <si>
    <t>CWD 4025G</t>
  </si>
  <si>
    <t>CWD 4080G</t>
  </si>
  <si>
    <t>CWD 6080G</t>
  </si>
  <si>
    <t>CWD 8040G</t>
  </si>
  <si>
    <t>CP1040</t>
  </si>
  <si>
    <t>CP10924B</t>
  </si>
  <si>
    <t>CP1146</t>
  </si>
  <si>
    <t>CP1156</t>
  </si>
  <si>
    <t>CP20908</t>
  </si>
  <si>
    <t>CP20912</t>
  </si>
  <si>
    <t>CP20936</t>
  </si>
  <si>
    <t>CP302515Y</t>
  </si>
  <si>
    <t>CP32924</t>
  </si>
  <si>
    <t>CP501</t>
  </si>
  <si>
    <t>CP6001</t>
  </si>
  <si>
    <t>CWD 6060G</t>
  </si>
  <si>
    <t>CWD 8010G</t>
  </si>
  <si>
    <t>CWD 8080G</t>
  </si>
  <si>
    <t>КОРПУС РАСПАЯЧНОЙ КОРОБКИ 150X150X70ММ, ПЕРФОРИВАННЫЕ СТЕНКИ, КРЫШКА С ПРИЖ. ВИНТАМИ ИЗ НЕРЖ. СТАЛИ, ПЛАСТИК</t>
  </si>
  <si>
    <t>КОРПУС РАСПАЯЧНОЙ КОРОБКИ 100X100X50ММ, КАБЕЛЬНЫЙ ВВОД, ПЛАСТИК</t>
  </si>
  <si>
    <t>КОРПУС ЩИТА РАСПРЕДЕЛИТЕЛЬНОГО ДЛЯ МОДУЛЬНОГО ОБОРУДОВАНИЯ 24M(12X2), ВСТРАЕВАМЫЙ, ПРОЗРАЧНАЯ ЗАТЕМНЁННАЯ ДВЕРЦА, ЧЁРНЫЙ ЦВЕТ</t>
  </si>
  <si>
    <t>КОРПУС РАСПАЯЧНОЙ КОРОБКИ 150X150X70ММ, ПЕРФОРИВАННЫЕ СТЕНКИ, ПЛАСТИК</t>
  </si>
  <si>
    <t>КОРПУС РАСПАЯЧНОЙ КОРОБКИ 150X110X70ММ, ПЕРФОРИВАННЫЕ СТЕНКИ, ПЛАСТИК</t>
  </si>
  <si>
    <t>КОРПУС РАСПАЯЧНОЙ КОРОБКИ 190X145X80ММ, ПЕРФОРИВАННЫЕ СТЕНКИ, ПЛАСТИК</t>
  </si>
  <si>
    <t>КОРПУС РАСПАЯЧНОЙ КОРОБКИ 480X400X140ММ, ПЕРФОРИВАННЫЕ СТЕНКИ, ПЛАСТИК</t>
  </si>
  <si>
    <t>КОРПУС РАСПАЯЧНОЙ КОРОБКИ 190X145X80ММ, КАБЕЛЬНЫЙ ВВОД, ПЛАСТИК</t>
  </si>
  <si>
    <t>КОРПУС РАСПАЯЧНОЙ КОРОБКИ 480X400X140ММ, КАБЕЛЬНЫЙ ВВОД, ПЛАСТИК</t>
  </si>
  <si>
    <t>КОРПУС РАСПАЯЧНОЙ КОРОБКИ 250X200X160ММ, ПЕРФОРИВАННЫЕ СТЕНКИ, ПЛАСТИК</t>
  </si>
  <si>
    <t>КОРПУС ЩИТА 300X250X150ММ, НАВЕСНОЙ, МЕТАЛЛ, IP40, СЕРЫЙ ЦВЕТ</t>
  </si>
  <si>
    <t>КОРПУС ЩИТА РАСПРЕДЕЛИТЕЛЬНОГО ДЛЯ МОДУЛЬНОГО ОБОРУДОВАНИЯ 24M(12X2), НАВЕСНОЙ, ГЛУХАЯ ДВЕРЦА</t>
  </si>
  <si>
    <t>300X200X150ММ КОРПУС ЩИТА, ПОЛИЭСТЕР, ГЛУХАЯ ДВЕРЦА</t>
  </si>
  <si>
    <t>КОРПУС ЩИТА РАСПРЕДЕЛИТЕЛЬНОГО 210X280X130ММ, DIN-РЕЙКА 8M (1Х8), НАВЕСНОЙ, ПЛАСТИК</t>
  </si>
  <si>
    <t>КОРПУС ПРОМЫШЛЕННОГО ЩИТА 230X300X115ММ, 11M, ПЛАСТИК</t>
  </si>
  <si>
    <t>КОРПУС ПРОМЫШЛЕННОГО ЩИТА 330X330X155ММ, 13M, ПЛАСТИК</t>
  </si>
  <si>
    <t>КАБЕЛЬНЫЙ КАНАЛ ПЕРФОРИРОВАННЫЙ С КРЫШКОЙ (6ММ) 100X80ММ, СЕРЫЙ ЦВЕТ</t>
  </si>
  <si>
    <t>КАБЕЛЬНЫЙ КАНАЛ ПЕРФОРИРОВАННЫЙ С КРЫШКОЙ (6ММ) 25X40ММ, СЕРЫЙ ЦВЕТ</t>
  </si>
  <si>
    <t>КАБЕЛЬНЫЙ КАНАЛ ПЕРФОРИРОВАННЫЙ С КРЫШКОЙ (6ММ) 25X80ММ, СЕРЫЙ ЦВЕТ</t>
  </si>
  <si>
    <t>КАБЕЛЬНЫЙ КАНАЛ ПЕРФОРИРОВАННЫЙ С КРЫШКОЙ (6ММ) 40X25ММ, СЕРЫЙ ЦВЕТ</t>
  </si>
  <si>
    <t>КАБЕЛЬНЫЙ КАНАЛ ПЕРФОРИРОВАННЫЙ С КРЫШКОЙ (6ММ) 40X80ММ, СЕРЫЙ ЦВЕТ</t>
  </si>
  <si>
    <t>КАБЕЛЬНЫЙ КАНАЛ ПЕРФОРИРОВАННЫЙ С КРЫШКОЙ (6ММ) 60X60ММ, СЕРЫЙ ЦВЕТ</t>
  </si>
  <si>
    <t>КАБЕЛЬНЫЙ КАНАЛ ПЕРФОРИРОВАННЫЙ С КРЫШКОЙ (6ММ) 60X80ММ, СЕРЫЙ ЦВЕТ</t>
  </si>
  <si>
    <t>КАБЕЛЬНЫЙ КАНАЛ ПЕРФОРИРОВАННЫЙ С КРЫШКОЙ (6ММ) 80X40ММ, СЕРЫЙ ЦВЕТ</t>
  </si>
  <si>
    <t>КАБЕЛЬНЫЙ КАНАЛ ПЕРФОРИРОВАННЫЙ С КРЫШКОЙ (6ММ) 80X80ММ, СЕРЫЙ ЦВЕТ</t>
  </si>
  <si>
    <t>CP01012</t>
  </si>
  <si>
    <t>CP01034</t>
  </si>
  <si>
    <t>CP01035</t>
  </si>
  <si>
    <t>CP1035</t>
  </si>
  <si>
    <t>CP1036</t>
  </si>
  <si>
    <t>CP1037</t>
  </si>
  <si>
    <t>CP1042</t>
  </si>
  <si>
    <t>CP1043Y</t>
  </si>
  <si>
    <t>CP1045</t>
  </si>
  <si>
    <t>CP1047</t>
  </si>
  <si>
    <t>CP1049</t>
  </si>
  <si>
    <t>CP1052</t>
  </si>
  <si>
    <t>CP1053</t>
  </si>
  <si>
    <t>CP1054</t>
  </si>
  <si>
    <t>CP1059</t>
  </si>
  <si>
    <t>CP1060</t>
  </si>
  <si>
    <t>CP1063</t>
  </si>
  <si>
    <t>CP10908</t>
  </si>
  <si>
    <t>CP10912</t>
  </si>
  <si>
    <t>CP12011</t>
  </si>
  <si>
    <t>CP12012</t>
  </si>
  <si>
    <t>CP1232</t>
  </si>
  <si>
    <t>CP1235</t>
  </si>
  <si>
    <t>CP1251</t>
  </si>
  <si>
    <t>CP1259</t>
  </si>
  <si>
    <t>CP12918</t>
  </si>
  <si>
    <t>CP12954B</t>
  </si>
  <si>
    <t>CP12972-M1</t>
  </si>
  <si>
    <t>CP1432</t>
  </si>
  <si>
    <t>CP1451</t>
  </si>
  <si>
    <t>CP1452</t>
  </si>
  <si>
    <t>CP1471</t>
  </si>
  <si>
    <t>CP1515T</t>
  </si>
  <si>
    <t>CP202515E</t>
  </si>
  <si>
    <t>CP20905</t>
  </si>
  <si>
    <t>CP20954</t>
  </si>
  <si>
    <t>CP20972</t>
  </si>
  <si>
    <t>CP3020T</t>
  </si>
  <si>
    <t>CP3025T</t>
  </si>
  <si>
    <t>CP453515Y</t>
  </si>
  <si>
    <t>CP5007</t>
  </si>
  <si>
    <t>CP5015</t>
  </si>
  <si>
    <t>CP5022</t>
  </si>
  <si>
    <t>CP5032</t>
  </si>
  <si>
    <t>CP5111</t>
  </si>
  <si>
    <t>CP5605</t>
  </si>
  <si>
    <t>CP5606</t>
  </si>
  <si>
    <t>CP6012030E</t>
  </si>
  <si>
    <t>CP6020E</t>
  </si>
  <si>
    <t>CP6021E</t>
  </si>
  <si>
    <t>CP6022E</t>
  </si>
  <si>
    <t>CP6032E</t>
  </si>
  <si>
    <t>CP605030Y</t>
  </si>
  <si>
    <t>CP6077</t>
  </si>
  <si>
    <t>CP6901</t>
  </si>
  <si>
    <t>CP6902</t>
  </si>
  <si>
    <t>CPD 4505015 SUPP</t>
  </si>
  <si>
    <t>CPD 6010520 SUM</t>
  </si>
  <si>
    <t>CPD 6018025 SUMS</t>
  </si>
  <si>
    <t>CPR820</t>
  </si>
  <si>
    <t>CWD 2540-4</t>
  </si>
  <si>
    <t>CWD 2560-4</t>
  </si>
  <si>
    <t>CWD 2560G</t>
  </si>
  <si>
    <t>CWD 4040G</t>
  </si>
  <si>
    <t>CWD 4060-4</t>
  </si>
  <si>
    <t>CWD 4060G</t>
  </si>
  <si>
    <t>CWD 6060-4</t>
  </si>
  <si>
    <t>S14 1M0 00</t>
  </si>
  <si>
    <t>S14 1M0 01</t>
  </si>
  <si>
    <t>S14 1M0 02</t>
  </si>
  <si>
    <t>S14 1M0 03</t>
  </si>
  <si>
    <t>S14 1P0 00</t>
  </si>
  <si>
    <t>S14 1P0 01</t>
  </si>
  <si>
    <t>S21 C12K 00</t>
  </si>
  <si>
    <t>S21 C12K 01</t>
  </si>
  <si>
    <t>S21 C12K 02</t>
  </si>
  <si>
    <t>S21 C12K 03</t>
  </si>
  <si>
    <t>S21 C12K 04</t>
  </si>
  <si>
    <t>S21 C12K 05</t>
  </si>
  <si>
    <t>S21 C12K 06</t>
  </si>
  <si>
    <t>V01 110 001</t>
  </si>
  <si>
    <t>V01 160 001</t>
  </si>
  <si>
    <t>V01 260 002</t>
  </si>
  <si>
    <t>V01 260 003</t>
  </si>
  <si>
    <t>V01 260 004</t>
  </si>
  <si>
    <t>V01 325 001</t>
  </si>
  <si>
    <t>V01 325 002</t>
  </si>
  <si>
    <t>V02 110 003</t>
  </si>
  <si>
    <t>V02 160 001</t>
  </si>
  <si>
    <t>V02 160 003</t>
  </si>
  <si>
    <t>V02 260 001</t>
  </si>
  <si>
    <t>V02 260 003</t>
  </si>
  <si>
    <t>V03 190 002</t>
  </si>
  <si>
    <t>V03 220 001</t>
  </si>
  <si>
    <t>V05 050 001</t>
  </si>
  <si>
    <t>V05 050 002</t>
  </si>
  <si>
    <t>V05 060 001</t>
  </si>
  <si>
    <t>V05 060 002</t>
  </si>
  <si>
    <t>V05 080 001</t>
  </si>
  <si>
    <t>V05 092 002</t>
  </si>
  <si>
    <t>V05 120 001</t>
  </si>
  <si>
    <t>V05 120 002</t>
  </si>
  <si>
    <t>V05 120 003</t>
  </si>
  <si>
    <t>V05 120 004</t>
  </si>
  <si>
    <t>V05 120 005</t>
  </si>
  <si>
    <t>V10 01M 001</t>
  </si>
  <si>
    <t>V10 02K 001</t>
  </si>
  <si>
    <t>V10 05M 001</t>
  </si>
  <si>
    <t>КОРПУС ЩИТА РАСПРЕДЕЛИТЕЛЬНОГО ДЛЯ МОДУЛЬНОГО ОБОРУДОВАНИЯ С КРЫШКОЙ 2M, ПВХ</t>
  </si>
  <si>
    <t>КОРПУС ЩИТА РАСПРЕДЕЛИТЕЛЬНОГО ДЛЯ МОДУЛЬНОГО ОБОРУДОВАНИЯ С КРЫШКОЙ 4M, ПВХ</t>
  </si>
  <si>
    <t>КОРПУС ЩИТА РАСПРЕДЕЛИТЕЛЬНОГО ДЛЯ МОДУЛЬНОГО ОБОРУДОВАНИЯ С КРЫШКОЙ 8M, ПВХ</t>
  </si>
  <si>
    <t>КОРПУС РАСПАЯЧНОЙ КОРОБКИ Ø70X40ММ, КАБЕЛЬНЫЙ ВВОД, ПЛАСТИК</t>
  </si>
  <si>
    <t>КОРПУС РАСПАЯЧНОЙ КОРОБКИ Ø85X45ММ, КАБЕЛЬНЫЙ ВВОД, ПЛАСТИК</t>
  </si>
  <si>
    <t>КОРПУС РАСПАЯЧНОЙ КОРОБКИ 250X200X90ММ, ПЕРФОРИВАННЫЕ СТЕНКИ, ПЛАСТИК, НЕ ПОДДЕРЖИВАЩИЙ ГОРЕНИЕ</t>
  </si>
  <si>
    <t>КОРПУС РАСПАЯЧНОЙ КОРОБКИ 400X300X130ММ, ПЕРФОРИВАННЫЕ СТЕНКИ, ПЛАСТИК</t>
  </si>
  <si>
    <t>КОРПУС РАСПАЯЧНОЙ КОРОБКИ 130X230X85ММ, ПЕРФОРИВАННЫЕ СТЕНКИ, ПЛАСТИК</t>
  </si>
  <si>
    <t>КОРПУС РАСПАЯЧНОЙ КОРОБКИ 130X460X85ММ, ПЕРФОРИВАННЫЕ СТЕНКИ, ПЛАСТИК</t>
  </si>
  <si>
    <t>КОРПУС РАСПАЯЧНОЙ КОРОБКИ 250X200X90ММ, КАБЕЛЬНЫЙ ВВОД, ПЛАСТИК</t>
  </si>
  <si>
    <t>КОРПУС РАСПАЯЧНОЙ КОРОБКИ 310X230X130ММ, КАБЕЛЬНЫЙ ВВОД, ПЛАСТИК</t>
  </si>
  <si>
    <t>КОРПУС РАСПАЯЧНОЙ КОРОБКИ 80X120X120ММ, ПЕРФОРИВАННЫЕ СТЕНКИ, ПЛАСТИК</t>
  </si>
  <si>
    <t>КОРПУС РАСПАЯЧНОЙ КОРОБКИ 100X100X120ММ, ПЕРФОРИВАННЫЕ СТЕНКИ, ПЛАСТИК</t>
  </si>
  <si>
    <t>КОРПУС ЩИТА РАСПРЕДЕЛИТЕЛЬНОГО ДЛЯ МОДУЛЬНОГО ОБОРУДОВАНИЯ 8M, ВСТРАЕВАМЫЙ, ПРОЗРАЧНАЯ ДВЕРЦА</t>
  </si>
  <si>
    <t>КОРПУС ЩИТА РАСПРЕДЕЛИТЕЛЬНОГО ДЛЯ МОДУЛЬНОГО ОБОРУДОВАНИЯ 12M, ВСТРАЕВАМЫЙ, ПРОЗРАЧНАЯ ДВЕРЦА</t>
  </si>
  <si>
    <t>КЛЕММНАЯ КОЛОДКА (CP904) 12M</t>
  </si>
  <si>
    <t>КЛЕММНАЯ КОЛОДКА 18M</t>
  </si>
  <si>
    <t>КОРПУС РАСПАЯЧНОЙ КОРОБКИ 110X110X70ММ, ПЕРФОРИВАННЫЕ СТЕНКИ, ПЛАСТИК</t>
  </si>
  <si>
    <t>КОРПУС ЩИТА РАСПРЕДЕЛИТЕЛЬНОГО ДЛЯ МОДУЛЬНОГО ОБОРУДОВАНИЯ 18M, ВСТРАЕВАМЫЙ, ГЛУХАЯ ДВЕРЦА</t>
  </si>
  <si>
    <t>КОРПУС ЩИТА РАСПРЕДЕЛИТЕЛЬНОГО ДЛЯ МОДУЛЬНОГО ОБОРУДОВАНИЯ 54M(18X3), ВСТРАЕВАМЫЙ, ГЛУХАЯ ДВЕРЦА, ЧЁРНЫЙ ЦВЕТ</t>
  </si>
  <si>
    <t>КОРПУС ЩИТА РАСПРЕДЕЛИТЕЛЬНОГО ДЛЯ МОДУЛЬНОГО ОБОРУДОВАНИЯ 72M(18X4), ВСТРАЕВАМЫЙ, ГЛУХАЯ ДВЕРЦА</t>
  </si>
  <si>
    <t>КОРПУС РАСПАЯЧНОЙ КОРОБКИ 150X110X140ММ, ПЕРФОРИВАННЫЕ СТЕНКИ, ПЛАСТИК</t>
  </si>
  <si>
    <t>МЕТАЛЛИЧСКАЯ МОНТАЖНАЯ КОРОБКА 150X150X120ММ, НАВЕСНОЙ МОНТАЖ, , IP54, СЕРЫЙ ЦВЕТ</t>
  </si>
  <si>
    <t>КОРПУС ЩИТА 200X250X150ММ, НАВЕСНОЙ, МЕТАЛЛ, IP66, СЕРЫЙ ЦВЕТ</t>
  </si>
  <si>
    <t>КОРПУС ЩИТА РАСПРЕДЕЛИТЕЛЬНОГО ДЛЯ МОДУЛЬНОГО ОБОРУДОВАНИЯ 5M, IP65</t>
  </si>
  <si>
    <t>КОРПУС ЩИТА РАСПРЕДЕЛИТЕЛЬНОГО ДЛЯ МОДУЛЬНОГО ОБОРУДОВАНИЯ 8M, IP65</t>
  </si>
  <si>
    <t>КОРПУС ЩИТА РАСПРЕДЕЛИТЕЛЬНОГО ДЛЯ МОДУЛЬНОГО ОБОРУДОВАНИЯ 12M, IP65</t>
  </si>
  <si>
    <t>КОРПУС ЩИТА РАСПРЕДЕЛИТЕЛЬНОГО ДЛЯ МОДУЛЬНОГО ОБОРУДОВАНИЯ 36M (12X3), IP65</t>
  </si>
  <si>
    <t>КОРПУС ЩИТА РАСПРЕДЕЛИТЕЛЬНОГО ДЛЯ МОДУЛЬНОГО ОБОРУДОВАНИЯ 54M (18X3), IP65</t>
  </si>
  <si>
    <t>КОРПУС ЩИТА РАСПРЕДЕЛИТЕЛЬНОГО ДЛЯ МОДУЛЬНОГО ОБОРУДОВАНИЯ 72M (18X4), IP65</t>
  </si>
  <si>
    <t>МЕТАЛЛИЧСКАЯ МОНТАЖНАЯ КОРОБКА 300X200X120ММ, НАВЕСНОЙ МОНТАЖ, , IP54, СЕРЫЙ ЦВЕТ</t>
  </si>
  <si>
    <t>МЕТАЛЛИЧСКАЯ МОНТАЖНАЯ КОРОБКА 300X250X120ММ, НАВЕСНОЙ МОНТАЖ, , IP54, СЕРЫЙ ЦВЕТ</t>
  </si>
  <si>
    <t>КОРПУС ЩИТА 450X350X150ММ, НАВЕСНОЙ, МЕТАЛЛ, IP40, СЕРЫЙ ЦВЕТ</t>
  </si>
  <si>
    <t>КОРПУС ЩИТА РАСПРЕДЕЛИТЕЛЬНОГО ВЛАГОЗАЩИЩЕННОГО 350X500X195ММ, НАВЕСНОЙ, ПЛАСТИК, ГЛУХАЯ ДВЕРЦА</t>
  </si>
  <si>
    <t>КОРПУС ЩИТА РАСПРЕДЕЛИТЕЛЬНОГО ВЛАГОЗАЩИЩЕННОГО 400X600X200ММ, НАВЕСНОЙ, ПЛАСТИК, ПРОЗРАЧНАЯ ДВЕРЦА</t>
  </si>
  <si>
    <t>КОРПУС ЩИТА РАСПРЕДЕЛИТЕЛЬНОГО ВЛАГОЗАЩИЩЕННОГО 180X240X130ММ, НАВЕСНОЙ, ПЛАСТИК, ГЛУХАЯ ДВЕРЦА</t>
  </si>
  <si>
    <t>КОРПУС ЩИТА РАСПРЕДЕЛИТЕЛЬНОГО ВЛАГОЗАЩИЩЕННОГО 180X240X130ММ, НАВЕСНОЙ, ПЛАСТИК, ПРОЗРАЧНАЯ ДВЕРЦА</t>
  </si>
  <si>
    <t>КОРПУС ЩИТА РАСПРЕДЕЛИТЕЛЬНОГО ВЛАГОЗАЩИЩЕННОГО С КОЗЫРЬКОМ 400X600X200ММ, НАВЕСНОЙ, ПЛАСТИК, ГЛУХАЯ ДВЕРЦА</t>
  </si>
  <si>
    <t>КОРПУС ЩИТА РАСПРЕДЕЛИТЕЛЬНОГО ВЛАГОЗАЩИЩЕННОГО С КОЗЫРЬКОМ 500X700X245ММ, НАВЕСНОЙ, ПЛАСТИК, ГЛУХАЯ ДВЕРЦА</t>
  </si>
  <si>
    <t>КОРПУС ЩИТА 600X1200X300ММ, НАВЕСНОЙ, МЕТАЛЛ, IP66, СЕРЫЙ ЦВЕТ</t>
  </si>
  <si>
    <t>КОРПУС ПРОМЫШЛЕННОГО ЩИТА С РОЗЕТКАМИ (1X3P+T 16A/380V + 2X2P 16A), ПЛАСТИК</t>
  </si>
  <si>
    <t>КОРПУС ПРОМЫШЛЕННОГО ЩИТА С РОЗЕТКАМИ (1X3P+N+T 16A/380V + 2X2P 16A), ПЛАСТИК</t>
  </si>
  <si>
    <t>КОРПУС ПРОМЫШЛЕННОГО ЩИТА С РОЗЕТКАМИ (1X3P+N+T 32A/380V + 2X2P 16A), ПЛАСТИК</t>
  </si>
  <si>
    <t>КОРПУС ПРОМЫШЛЕННОГО ЩИТА С РОЗЕТКАМИ (2X3P+N+T 16A/380V + 2X2P 16A), ПЛАСТИК</t>
  </si>
  <si>
    <t>КОРПУС ЩИТА 600X500X300ММ, НАВЕСНОЙ, МЕТАЛЛ, IP40, СЕРЫЙ ЦВЕТ</t>
  </si>
  <si>
    <t>КОРПУС ПРОМЫШЛЕННОГО ЩИТА С РОЗЕТКАМИ (6X3P+N+T 32A/380V), ПЛАСТИК</t>
  </si>
  <si>
    <t>РОЗЕТКА ПРОМЫШЛЕННАЯ SCHUKO</t>
  </si>
  <si>
    <t>РОЗЕТКА ПРОМЫШЛЕННАЯ SCHUKO С РАМКОЙ</t>
  </si>
  <si>
    <t>КОРПУС ЩИТА РАСПРЕДЕЛИТЕЛЬНОГО 450X500X150ММ, DIN-РЕЙКИ 40M(2X20) С ГЛУХОЙ ПАНЕЛЬЮ, НАВЕСНОЙ, МЕТАЛЛ, ПРОЗРАЧНАЯ ДВЕРЦА ИЗ ГНУТОГО СТЕКЛА, СЕРЫЙ ЦВЕТ</t>
  </si>
  <si>
    <t>КОРПУС ЩИТА РАСПРЕДЕЛИТЕЛЬНОГО 600X1050X200ММ, МОНТАЖНАЯ ПАНЕЛЬ, НАВЕСНОЙ, МЕТАЛЛ, ПРОЗРАЧНАЯ ДВЕРЦА ИЗ ГНУТОГО СТЕКЛА, СЕРЫЙ ЦВЕТ</t>
  </si>
  <si>
    <t>КОРПУС ЩИТА РАСПРЕДЕЛИТЕЛЬНОГО 600X1800X250ММ, DIN-РЕЙКИ 264M(11X24), НАВЕСНОЙ, МЕТАЛЛ, ПРОЗРАЧНАЯ ДВЕРЦА ИЗ ГНУТОГО СТЕКЛА, СЕРЫЙ ЦВЕТ</t>
  </si>
  <si>
    <t>КОРПУС ЩИТА РАСПРЕДЕЛИТЕЛЬНОГО 320X300X140ММ, DIN-РЕЙКА 24M, ВСТРАЕВАЕМЫЙ, МЕТАЛЛ, СЕРЫЙ ЦВЕТ</t>
  </si>
  <si>
    <t>КАБЕЛЬНЫЙ КАНАЛ ПЕРФОРИРОВАННЫЙ С КРЫШКОЙ (4ММ) 25X40ММ, СЕРЫЙ ЦВЕТ (1 ШТ 2 М)</t>
  </si>
  <si>
    <t>КАБЕЛЬНЫЙ КАНАЛ ПЕРФОРИРОВАННЫЙ С КРЫШКОЙ (4ММ) 25X60ММ, СЕРЫЙ ЦВЕТ (1 ШТ 2 М)</t>
  </si>
  <si>
    <t>КАБЕЛЬНЫЙ КАНАЛ ПЕРФОРИРОВАННЫЙ С КРЫШКОЙ (6ММ) 25X60ММ, СЕРЫЙ ЦВЕТ</t>
  </si>
  <si>
    <t>КАБЕЛЬНЫЙ КАНАЛ ПЕРФОРИРОВАННЫЙ С КРЫШКОЙ (6ММ) 40X40ММ, СЕРЫЙ ЦВЕТ</t>
  </si>
  <si>
    <t>КАБЕЛЬНЫЙ КАНАЛ ПЕРФОРИРОВАННЫЙ С КРЫШКОЙ (4ММ) 40X60ММ, СЕРЫЙ ЦВЕТ (1 ШТ 2 М)</t>
  </si>
  <si>
    <t>КАБЕЛЬНЫЙ КАНАЛ ПЕРФОРИРОВАННЫЙ С КРЫШКОЙ (6ММ) 40X60ММ, СЕРЫЙ ЦВЕТ</t>
  </si>
  <si>
    <t>КАБЕЛЬНЫЙ КАНАЛ ПЕРФОРИРОВАННЫЙ С КРЫШКОЙ (4ММ) 60X60ММ, СЕРЫЙ ЦВЕТ (1 ШТ 2 М)</t>
  </si>
  <si>
    <t>КАБЕЛЬНЫЙ КАНАЛ ПЕРФОРИРОВАННЫЙ С КРЫШКОЙ (6ММ) 80X100ММ, СЕРЫЙ ЦВЕТ (1 ШТ 2 М)</t>
  </si>
  <si>
    <t>СТАБИЛИЗАТОР НАПРЯЖЕНИЯ 500ВА В МЕТАЛЛИЧЕСКОМ КОРПУСЕ C АЛЮМИНИЕВОЙ ОБМОТКОЙ</t>
  </si>
  <si>
    <t>СТАБИЛИЗАТОР НАПРЯЖЕНИЯ 1000ВА В МЕТАЛЛИЧЕСКОМ КОРПУСЕ C АЛЮМИНИЕВОЙ ОБМОТКОЙ</t>
  </si>
  <si>
    <t>СТАБИЛИЗАТОР НАПРЯЖЕНИЯ 1500ВА В МЕТАЛЛИЧЕСКОМ КОРПУСЕ C АЛЮМИНИЕВОЙ ОБМОТКОЙ</t>
  </si>
  <si>
    <t>СТАБИЛИЗАТОР НАПРЯЖЕНИЯ 1500K ВА В МЕТАЛЛИЧЕСКОМ КОРПУСЕ C АЛЮМИНИЕВОЙ ОБМОТКОЙ</t>
  </si>
  <si>
    <t>СТАБИЛИЗАТОР НАПРЯЖЕНИЯ 500 ВА В ПЛАСТИКОВОМ КОРПУСЕ C АЛЮМИНИЕВОЙ ОБМОТКОЙ</t>
  </si>
  <si>
    <t>СТАБИЛИЗАТОР НАПРЯЖЕНИЯ 1000 ВА В ПЛАСТИКОВОМ КОРПУСЕ C АЛЮМИНИЕВОЙ ОБМОТКОЙ</t>
  </si>
  <si>
    <t>ТРАНСФОРМАТОР 220/12 - 220/24, 30ВА С МЕДНОЙ ОБМОТКОЙ</t>
  </si>
  <si>
    <t>ТРАНСФОРМАТОР 220/12 - 220/24, 50ВА С МЕДНОЙ ОБМОТКОЙ</t>
  </si>
  <si>
    <t>ТРАНСФОРМАТОР 220/12 - 220/24, 75ВА С МЕДНОЙ ОБМОТКОЙ</t>
  </si>
  <si>
    <t>ТРАНСФОРМАТОР 220/12 - 220/24, 100ВА С МЕДНОЙ ОБМОТКОЙ</t>
  </si>
  <si>
    <t>ТРАНСФОРМАТОР 220/12 - 220/24, 150ВА С МЕДНОЙ ОБМОТКОЙ</t>
  </si>
  <si>
    <t>ТРАНСФОРМАТОР 220/12 - 220/24, 200ВА С МЕДНОЙ ОБМОТКОЙ</t>
  </si>
  <si>
    <t>ТРАНСФОРМАТОР 220/12 - 220/24, 250ВА С МЕДНОЙ ОБМОТКОЙ</t>
  </si>
  <si>
    <t>ВЕНТИЛЯТОР 80Х80Х38ММ С РЕШЕТКОЙ 110Х110ММ, 34М3/Ч, 230В-50/60HZ</t>
  </si>
  <si>
    <t>ВЕНТИЛЯТОР 120Х120Х38ММ С РЕШЕТКОЙ 160Х160ММ, 130М3/Ч, 230В-50/60HZ</t>
  </si>
  <si>
    <t>ВЕНТИЛЯТОР 170Х150Х55ММ С РЕШЕТКОЙ 260Х260ММ, 285М3/Ч, 230В-50/60HZ</t>
  </si>
  <si>
    <t>ВЕНТИЛЯТОР 170Х150Х51ММ С РЕШЕТКОЙ 260Х260ММ, 288М3/Ч, 230В-50/60HZ</t>
  </si>
  <si>
    <t>ВЕНТИЛЯТОР 225Х225Х80ММ С РЕШЕТКОЙ 260Х260ММ, 755М3/Ч, 230В-50/60HZ</t>
  </si>
  <si>
    <t>ВЕНТИЛЯТОР 220×60ММ С РЕШЕТКОЙ 325×325ММ, 520М3/Ч, 230В-50/60HZ</t>
  </si>
  <si>
    <t>ВЕНТИЛЯТОР 280Х280Х80ММ С РЕШЕТКОЙ 325×325ММ, 1533М3/Ч, 230В-50/60HZ</t>
  </si>
  <si>
    <t>ВЕНТИЛЯЦИОННАЯ РЕШЕТКА 110X110ММ, IP54, СЕРЫЙ ЦВЕТ</t>
  </si>
  <si>
    <t>ВЕНТИЛЯЦИОННАЯ РЕШЕТКА 160X160ММ, IP54, СЕРЫЙ ЦВЕТ</t>
  </si>
  <si>
    <t>ВЕНТИЛЯЦИОННАЯ РЕШЕТКА 260X260ММ, IP54, СЕРЫЙ ЦВЕТ</t>
  </si>
  <si>
    <t>КРЫШНЫЕ ВЕНТИЛЯТОРЫ С ФИЛЬТРАЦИЕЙ (БЫСТРОЕ ПОДКЛ.) Ø190ММ, 600 М3/Ч, 230В-50/60HZ, IP54</t>
  </si>
  <si>
    <t>ВЕНТИЛЯТОР КРЫШНЫЙ (ВИНТОВОЕ ПОДКЛ.) Ø220ММ, 230В-50/60HZ</t>
  </si>
  <si>
    <t>ВЕНТИЛЯТОР 50Х50Х10ММ, 6000 М3/Ч, 12В DC, ВТУЛКА</t>
  </si>
  <si>
    <t>ВЕНТИЛЯТОР 50Х50Х10ММ, 6000 М3/Ч, 1,92В AC, ВТУЛКА</t>
  </si>
  <si>
    <t>ВЕНТИЛЯТОР 60Х60Х25ММ, 4500 М3/Ч, 12В DC, ВТУЛКА</t>
  </si>
  <si>
    <t>ВЕНТИЛЯТОР 60Х60Х25ММ, 4500 М3/Ч, 24В AC, ВТУЛКА</t>
  </si>
  <si>
    <t>ВЕНТИЛЯТОР 80Х80Х25ММ, 3500 М3/Ч, 24В AC, ВТУЛКА</t>
  </si>
  <si>
    <t>ВЕНТИЛЯТОР 92Х92Х25ММ, 3500 М3/Ч, 24В AC, ВТУЛКА</t>
  </si>
  <si>
    <t>ВЕНТИЛЯТОР 120Х120Х25ММ, 3200 М3/Ч, 12В DC, ВТУЛКА</t>
  </si>
  <si>
    <t>ВЕНТИЛЯТОР 120Х120Х25ММ, 3200 М3/Ч, 24В AC, ВТУЛКА</t>
  </si>
  <si>
    <t>ВЕНТИЛЯТОР 120Х120Х38ММ, 2500 М3/Ч, 24В AC, ВТУЛКА</t>
  </si>
  <si>
    <t>ВЕНТИЛЯТОР 120Х120Х38ММ, 2500 М3/Ч, 48В AC, ВТУЛКА</t>
  </si>
  <si>
    <t>ВЕНТИЛЯТОР 120Х120Х38ММ, 2500 М3/Ч, 12В DC, ВТУЛКА</t>
  </si>
  <si>
    <t>ТЕРМОСТАТ ДЛЯ ВЕНТИЛЯТОРОВ</t>
  </si>
  <si>
    <t xml:space="preserve">ТЕРМОСТАТ ДЛЯ ОБОГРЕВАТЕЛЕЙ </t>
  </si>
  <si>
    <t>ТЕРМОСТАТ ВЕНТИЛЯТОР + ОБОГРЕВАТЕЛЬ</t>
  </si>
  <si>
    <t>Факт</t>
  </si>
  <si>
    <t>Названия строк</t>
  </si>
  <si>
    <t>Общий итог</t>
  </si>
  <si>
    <t>Сумма по полю Кол-во, шт</t>
  </si>
  <si>
    <t>Сумма по полю Факт</t>
  </si>
  <si>
    <t>Артикул</t>
  </si>
  <si>
    <t>План</t>
  </si>
  <si>
    <t>Расхождения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</si>
</sst>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3" formatCode="_-* #,##0.00_-;\-* #,##0.00_-;_-* &quot;-&quot;??_-;_-@_-"/>
    <numFmt numFmtId="164" formatCode="#,##0.0000_ ;[Red]\-#,##0.0000\ "/>
    <numFmt numFmtId="165" formatCode="#,##0_ ;[Red]\-#,##0\ "/>
    <numFmt numFmtId="166" formatCode="_-* #,##0\ _T_L_-;\-* #,##0\ _T_L_-;_-* &quot;-&quot;\ _T_L_-;_-@_-"/>
    <numFmt numFmtId="167" formatCode="_-* #,##0.00\ &quot;TL&quot;_-;\-* #,##0.00\ &quot;TL&quot;_-;_-* &quot;-&quot;??\ &quot;TL&quot;_-;_-@_-"/>
    <numFmt numFmtId="168" formatCode="_-* #,##0.00\ _T_L_-;\-* #,##0.00\ _T_L_-;_-* &quot;-&quot;??\ _T_L_-;_-@_-"/>
    <numFmt numFmtId="169" formatCode="_-* #,##0.00\ _₺_-;\-* #,##0.00\ _₺_-;_-* &quot;-&quot;??\ _₺_-;_-@_-"/>
    <numFmt numFmtId="170" formatCode="General_)"/>
    <numFmt numFmtId="171" formatCode="[$-41F]General"/>
    <numFmt numFmtId="172" formatCode="[$-41F]0%"/>
    <numFmt numFmtId="173" formatCode="#,##0.00[$YTL-41F];[Red]&quot;-&quot;#,##0.00[$YTL-41F]"/>
    <numFmt numFmtId="174" formatCode="_-&quot;R$&quot;\ * #,##0.00_-;\-&quot;R$&quot;\ * #,##0.00_-;_-&quot;R$&quot;\ * &quot;-&quot;??_-;_-@_-"/>
  </numFmts>
  <fonts count="73">
    <font>
      <sz val="10"/>
      <color indexed="8"/>
      <name val="ARIAL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0"/>
      <color indexed="8"/>
      <name val="Arial"/>
      <family val="2"/>
      <charset val="204"/>
    </font>
    <font>
      <sz val="10"/>
      <name val="Arial"/>
      <family val="2"/>
      <charset val="204"/>
    </font>
    <font>
      <b/>
      <sz val="11"/>
      <color theme="0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0"/>
      <name val="Courier"/>
    </font>
    <font>
      <sz val="10"/>
      <name val="Arial"/>
      <family val="2"/>
      <charset val="162"/>
    </font>
    <font>
      <sz val="10"/>
      <name val="Arial Tur"/>
      <charset val="162"/>
    </font>
    <font>
      <sz val="10"/>
      <name val="Times New Roman"/>
      <family val="1"/>
      <charset val="162"/>
    </font>
    <font>
      <sz val="10"/>
      <name val="Arial Tur"/>
      <family val="2"/>
      <charset val="162"/>
    </font>
    <font>
      <sz val="10"/>
      <name val="Courier"/>
      <family val="1"/>
      <charset val="162"/>
    </font>
    <font>
      <sz val="10"/>
      <name val="Courier"/>
      <family val="3"/>
    </font>
    <font>
      <sz val="10"/>
      <name val="Times New Roman TUR"/>
      <charset val="162"/>
    </font>
    <font>
      <sz val="11"/>
      <color indexed="8"/>
      <name val="Calibri"/>
      <family val="2"/>
      <charset val="162"/>
    </font>
    <font>
      <sz val="11"/>
      <color rgb="FF000000"/>
      <name val="Arial"/>
      <family val="2"/>
      <charset val="162"/>
    </font>
    <font>
      <sz val="11"/>
      <color rgb="FF000000"/>
      <name val="Calibri"/>
      <family val="2"/>
      <charset val="162"/>
    </font>
    <font>
      <b/>
      <i/>
      <sz val="16"/>
      <color theme="1"/>
      <name val="Arial"/>
      <family val="2"/>
      <charset val="162"/>
    </font>
    <font>
      <b/>
      <i/>
      <sz val="16"/>
      <color rgb="FF000000"/>
      <name val="Arial"/>
      <family val="2"/>
      <charset val="162"/>
    </font>
    <font>
      <u/>
      <sz val="11"/>
      <color theme="10"/>
      <name val="Calibri"/>
      <family val="2"/>
      <charset val="134"/>
      <scheme val="minor"/>
    </font>
    <font>
      <u/>
      <sz val="11"/>
      <color theme="10"/>
      <name val="Calibri"/>
      <family val="2"/>
      <charset val="162"/>
    </font>
    <font>
      <sz val="11"/>
      <color theme="1"/>
      <name val="Calibri"/>
      <family val="2"/>
      <charset val="134"/>
      <scheme val="minor"/>
    </font>
    <font>
      <sz val="10"/>
      <color rgb="FF000000"/>
      <name val="Times New Roman"/>
      <family val="1"/>
      <charset val="162"/>
    </font>
    <font>
      <sz val="11"/>
      <color theme="1"/>
      <name val="Arial"/>
      <family val="2"/>
      <charset val="162"/>
    </font>
    <font>
      <b/>
      <i/>
      <u/>
      <sz val="11"/>
      <color theme="1"/>
      <name val="Arial"/>
      <family val="2"/>
      <charset val="162"/>
    </font>
    <font>
      <b/>
      <i/>
      <u/>
      <sz val="11"/>
      <color rgb="FF000000"/>
      <name val="Arial"/>
      <family val="2"/>
      <charset val="162"/>
    </font>
    <font>
      <sz val="10"/>
      <color indexed="8"/>
      <name val="Arial"/>
      <family val="2"/>
      <charset val="204"/>
    </font>
    <font>
      <sz val="10"/>
      <name val="Helv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color rgb="FF00000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u/>
      <sz val="11"/>
      <color theme="10"/>
      <name val="Calibri"/>
      <family val="2"/>
      <charset val="204"/>
      <scheme val="minor"/>
    </font>
    <font>
      <sz val="10"/>
      <color indexed="8"/>
      <name val="Arial"/>
      <family val="2"/>
    </font>
    <font>
      <u/>
      <sz val="10"/>
      <color theme="10"/>
      <name val="Arial"/>
      <family val="2"/>
      <charset val="162"/>
    </font>
    <font>
      <sz val="8"/>
      <name val="Arial"/>
      <family val="2"/>
      <charset val="204"/>
    </font>
    <font>
      <b/>
      <sz val="14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1"/>
      <color theme="0"/>
      <name val="Calibri"/>
      <family val="2"/>
      <charset val="204"/>
      <scheme val="minor"/>
    </font>
    <font>
      <b/>
      <sz val="14"/>
      <color indexed="8"/>
      <name val="ARIAL"/>
      <family val="2"/>
      <charset val="204"/>
    </font>
    <font>
      <b/>
      <sz val="16"/>
      <color indexed="8"/>
      <name val="ARIAL"/>
      <family val="2"/>
      <charset val="204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50">
    <xf numFmtId="0" fontId="0" fillId="0" borderId="0">
      <alignment vertical="top"/>
    </xf>
    <xf numFmtId="0" fontId="16" fillId="0" borderId="0"/>
    <xf numFmtId="0" fontId="15" fillId="0" borderId="0"/>
    <xf numFmtId="0" fontId="17" fillId="0" borderId="0"/>
    <xf numFmtId="0" fontId="18" fillId="0" borderId="0">
      <alignment vertical="top"/>
    </xf>
    <xf numFmtId="0" fontId="19" fillId="0" borderId="0"/>
    <xf numFmtId="0" fontId="14" fillId="0" borderId="0"/>
    <xf numFmtId="0" fontId="13" fillId="0" borderId="0"/>
    <xf numFmtId="0" fontId="13" fillId="0" borderId="0"/>
    <xf numFmtId="0" fontId="18" fillId="0" borderId="0">
      <alignment vertical="top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21" fillId="0" borderId="0">
      <alignment vertical="top"/>
    </xf>
    <xf numFmtId="0" fontId="10" fillId="0" borderId="0"/>
    <xf numFmtId="0" fontId="10" fillId="0" borderId="0"/>
    <xf numFmtId="0" fontId="23" fillId="0" borderId="4" applyNumberFormat="0" applyFill="0" applyAlignment="0" applyProtection="0"/>
    <xf numFmtId="0" fontId="24" fillId="0" borderId="5" applyNumberFormat="0" applyFill="0" applyAlignment="0" applyProtection="0"/>
    <xf numFmtId="0" fontId="25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7" applyNumberFormat="0" applyAlignment="0" applyProtection="0"/>
    <xf numFmtId="0" fontId="30" fillId="6" borderId="8" applyNumberFormat="0" applyAlignment="0" applyProtection="0"/>
    <xf numFmtId="0" fontId="31" fillId="6" borderId="7" applyNumberFormat="0" applyAlignment="0" applyProtection="0"/>
    <xf numFmtId="0" fontId="32" fillId="0" borderId="9" applyNumberFormat="0" applyFill="0" applyAlignment="0" applyProtection="0"/>
    <xf numFmtId="0" fontId="33" fillId="7" borderId="10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2" applyNumberFormat="0" applyFill="0" applyAlignment="0" applyProtection="0"/>
    <xf numFmtId="0" fontId="3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7" fillId="22" borderId="0" applyNumberFormat="0" applyBorder="0" applyAlignment="0" applyProtection="0"/>
    <xf numFmtId="0" fontId="17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7" fillId="26" borderId="0" applyNumberFormat="0" applyBorder="0" applyAlignment="0" applyProtection="0"/>
    <xf numFmtId="0" fontId="17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7" fillId="30" borderId="0" applyNumberFormat="0" applyBorder="0" applyAlignment="0" applyProtection="0"/>
    <xf numFmtId="0" fontId="17" fillId="31" borderId="0" applyNumberFormat="0" applyBorder="0" applyAlignment="0" applyProtection="0"/>
    <xf numFmtId="0" fontId="37" fillId="32" borderId="0" applyNumberFormat="0" applyBorder="0" applyAlignment="0" applyProtection="0"/>
    <xf numFmtId="170" fontId="38" fillId="0" borderId="0"/>
    <xf numFmtId="0" fontId="46" fillId="33" borderId="0" applyNumberFormat="0" applyBorder="0" applyAlignment="0" applyProtection="0"/>
    <xf numFmtId="0" fontId="22" fillId="0" borderId="0" applyNumberFormat="0" applyFill="0" applyBorder="0" applyAlignment="0" applyProtection="0"/>
    <xf numFmtId="168" fontId="39" fillId="0" borderId="0" applyFont="0" applyFill="0" applyBorder="0" applyAlignment="0" applyProtection="0"/>
    <xf numFmtId="171" fontId="47" fillId="0" borderId="0"/>
    <xf numFmtId="171" fontId="48" fillId="0" borderId="0"/>
    <xf numFmtId="171" fontId="48" fillId="0" borderId="0"/>
    <xf numFmtId="171" fontId="48" fillId="0" borderId="0" applyBorder="0" applyProtection="0"/>
    <xf numFmtId="171" fontId="48" fillId="0" borderId="0" applyBorder="0" applyProtection="0"/>
    <xf numFmtId="171" fontId="47" fillId="0" borderId="0"/>
    <xf numFmtId="171" fontId="47" fillId="0" borderId="0" applyFont="0" applyBorder="0" applyProtection="0"/>
    <xf numFmtId="171" fontId="47" fillId="0" borderId="0" applyFont="0" applyBorder="0" applyProtection="0"/>
    <xf numFmtId="171" fontId="47" fillId="0" borderId="0" applyFont="0" applyBorder="0" applyProtection="0"/>
    <xf numFmtId="172" fontId="47" fillId="0" borderId="0"/>
    <xf numFmtId="172" fontId="47" fillId="0" borderId="0"/>
    <xf numFmtId="172" fontId="47" fillId="0" borderId="0" applyFont="0" applyBorder="0" applyProtection="0"/>
    <xf numFmtId="172" fontId="48" fillId="0" borderId="0"/>
    <xf numFmtId="172" fontId="47" fillId="0" borderId="0"/>
    <xf numFmtId="172" fontId="47" fillId="0" borderId="0" applyFont="0" applyBorder="0" applyProtection="0"/>
    <xf numFmtId="172" fontId="47" fillId="0" borderId="0" applyFont="0" applyBorder="0" applyProtection="0"/>
    <xf numFmtId="0" fontId="49" fillId="0" borderId="0">
      <alignment horizontal="center"/>
    </xf>
    <xf numFmtId="171" fontId="50" fillId="0" borderId="0">
      <alignment horizontal="center"/>
    </xf>
    <xf numFmtId="171" fontId="50" fillId="0" borderId="0" applyBorder="0" applyProtection="0">
      <alignment horizontal="center"/>
    </xf>
    <xf numFmtId="171" fontId="50" fillId="0" borderId="0">
      <alignment horizontal="center"/>
    </xf>
    <xf numFmtId="171" fontId="50" fillId="0" borderId="0" applyBorder="0" applyProtection="0">
      <alignment horizontal="center"/>
    </xf>
    <xf numFmtId="171" fontId="50" fillId="0" borderId="0" applyBorder="0" applyProtection="0">
      <alignment horizontal="center"/>
    </xf>
    <xf numFmtId="0" fontId="50" fillId="0" borderId="0" applyNumberFormat="0" applyBorder="0" applyProtection="0">
      <alignment horizontal="center"/>
    </xf>
    <xf numFmtId="0" fontId="49" fillId="0" borderId="0">
      <alignment horizontal="center" textRotation="90"/>
    </xf>
    <xf numFmtId="171" fontId="50" fillId="0" borderId="0">
      <alignment horizontal="center" textRotation="90"/>
    </xf>
    <xf numFmtId="171" fontId="50" fillId="0" borderId="0" applyBorder="0" applyProtection="0">
      <alignment horizontal="center" textRotation="90"/>
    </xf>
    <xf numFmtId="171" fontId="50" fillId="0" borderId="0">
      <alignment horizontal="center" textRotation="90"/>
    </xf>
    <xf numFmtId="171" fontId="50" fillId="0" borderId="0" applyBorder="0" applyProtection="0">
      <alignment horizontal="center" textRotation="90"/>
    </xf>
    <xf numFmtId="171" fontId="50" fillId="0" borderId="0" applyBorder="0" applyProtection="0">
      <alignment horizontal="center" textRotation="90"/>
    </xf>
    <xf numFmtId="0" fontId="50" fillId="0" borderId="0" applyNumberFormat="0" applyBorder="0" applyProtection="0">
      <alignment horizontal="center" textRotation="90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71" fontId="48" fillId="0" borderId="0">
      <alignment vertical="center"/>
    </xf>
    <xf numFmtId="0" fontId="53" fillId="0" borderId="0">
      <alignment vertical="center"/>
    </xf>
    <xf numFmtId="171" fontId="48" fillId="0" borderId="0">
      <alignment vertical="center"/>
    </xf>
    <xf numFmtId="170" fontId="43" fillId="0" borderId="0"/>
    <xf numFmtId="0" fontId="16" fillId="0" borderId="0"/>
    <xf numFmtId="171" fontId="48" fillId="0" borderId="0" applyBorder="0" applyProtection="0">
      <alignment vertical="center"/>
    </xf>
    <xf numFmtId="0" fontId="4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0" borderId="0"/>
    <xf numFmtId="0" fontId="17" fillId="0" borderId="0"/>
    <xf numFmtId="0" fontId="16" fillId="0" borderId="0"/>
    <xf numFmtId="0" fontId="53" fillId="0" borderId="0">
      <alignment vertical="center"/>
    </xf>
    <xf numFmtId="170" fontId="44" fillId="0" borderId="0"/>
    <xf numFmtId="0" fontId="53" fillId="0" borderId="0">
      <alignment vertical="center"/>
    </xf>
    <xf numFmtId="170" fontId="43" fillId="0" borderId="0"/>
    <xf numFmtId="0" fontId="53" fillId="0" borderId="0">
      <alignment vertical="center"/>
    </xf>
    <xf numFmtId="0" fontId="17" fillId="0" borderId="0"/>
    <xf numFmtId="0" fontId="53" fillId="0" borderId="0">
      <alignment vertical="center"/>
    </xf>
    <xf numFmtId="170" fontId="43" fillId="0" borderId="0"/>
    <xf numFmtId="0" fontId="53" fillId="0" borderId="0">
      <alignment vertical="center"/>
    </xf>
    <xf numFmtId="0" fontId="1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39" fillId="0" borderId="0"/>
    <xf numFmtId="0" fontId="45" fillId="0" borderId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7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70" fontId="44" fillId="0" borderId="0"/>
    <xf numFmtId="0" fontId="39" fillId="0" borderId="0"/>
    <xf numFmtId="0" fontId="17" fillId="0" borderId="0"/>
    <xf numFmtId="0" fontId="17" fillId="0" borderId="0"/>
    <xf numFmtId="0" fontId="39" fillId="0" borderId="0"/>
    <xf numFmtId="0" fontId="46" fillId="0" borderId="0"/>
    <xf numFmtId="170" fontId="44" fillId="0" borderId="0"/>
    <xf numFmtId="0" fontId="54" fillId="0" borderId="0"/>
    <xf numFmtId="0" fontId="17" fillId="0" borderId="0"/>
    <xf numFmtId="0" fontId="54" fillId="0" borderId="0"/>
    <xf numFmtId="0" fontId="55" fillId="0" borderId="0"/>
    <xf numFmtId="0" fontId="39" fillId="0" borderId="0"/>
    <xf numFmtId="0" fontId="17" fillId="0" borderId="0"/>
    <xf numFmtId="0" fontId="54" fillId="0" borderId="0"/>
    <xf numFmtId="0" fontId="17" fillId="0" borderId="0"/>
    <xf numFmtId="170" fontId="44" fillId="0" borderId="0"/>
    <xf numFmtId="0" fontId="40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/>
    <xf numFmtId="0" fontId="39" fillId="0" borderId="0"/>
    <xf numFmtId="0" fontId="17" fillId="0" borderId="0"/>
    <xf numFmtId="0" fontId="39" fillId="0" borderId="0"/>
    <xf numFmtId="0" fontId="55" fillId="0" borderId="0"/>
    <xf numFmtId="0" fontId="17" fillId="0" borderId="0"/>
    <xf numFmtId="0" fontId="42" fillId="0" borderId="0"/>
    <xf numFmtId="0" fontId="53" fillId="0" borderId="0">
      <alignment vertical="center"/>
    </xf>
    <xf numFmtId="0" fontId="55" fillId="0" borderId="0"/>
    <xf numFmtId="0" fontId="39" fillId="0" borderId="0"/>
    <xf numFmtId="0" fontId="4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6" fillId="0" borderId="0"/>
    <xf numFmtId="0" fontId="17" fillId="0" borderId="0"/>
    <xf numFmtId="0" fontId="17" fillId="0" borderId="0"/>
    <xf numFmtId="0" fontId="39" fillId="0" borderId="0"/>
    <xf numFmtId="0" fontId="17" fillId="0" borderId="0"/>
    <xf numFmtId="0" fontId="39" fillId="0" borderId="0"/>
    <xf numFmtId="0" fontId="17" fillId="0" borderId="0"/>
    <xf numFmtId="0" fontId="17" fillId="0" borderId="0"/>
    <xf numFmtId="0" fontId="16" fillId="0" borderId="0"/>
    <xf numFmtId="0" fontId="46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17" fillId="0" borderId="0"/>
    <xf numFmtId="0" fontId="53" fillId="0" borderId="0">
      <alignment vertical="center"/>
    </xf>
    <xf numFmtId="0" fontId="17" fillId="0" borderId="0"/>
    <xf numFmtId="0" fontId="3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39" fillId="0" borderId="0"/>
    <xf numFmtId="0" fontId="53" fillId="0" borderId="0">
      <alignment vertical="center"/>
    </xf>
    <xf numFmtId="0" fontId="39" fillId="0" borderId="0"/>
    <xf numFmtId="0" fontId="17" fillId="0" borderId="0"/>
    <xf numFmtId="0" fontId="17" fillId="0" borderId="0"/>
    <xf numFmtId="170" fontId="43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70" fontId="43" fillId="0" borderId="0"/>
    <xf numFmtId="0" fontId="53" fillId="0" borderId="0">
      <alignment vertical="center"/>
    </xf>
    <xf numFmtId="170" fontId="43" fillId="0" borderId="0"/>
    <xf numFmtId="0" fontId="17" fillId="0" borderId="0"/>
    <xf numFmtId="0" fontId="39" fillId="0" borderId="0"/>
    <xf numFmtId="0" fontId="46" fillId="0" borderId="0"/>
    <xf numFmtId="0" fontId="17" fillId="0" borderId="0"/>
    <xf numFmtId="0" fontId="39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170" fontId="43" fillId="0" borderId="0"/>
    <xf numFmtId="0" fontId="53" fillId="0" borderId="0">
      <alignment vertical="center"/>
    </xf>
    <xf numFmtId="0" fontId="17" fillId="0" borderId="0"/>
    <xf numFmtId="0" fontId="17" fillId="0" borderId="0"/>
    <xf numFmtId="0" fontId="48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41" fillId="0" borderId="0"/>
    <xf numFmtId="0" fontId="16" fillId="8" borderId="11" applyNumberFormat="0" applyFont="0" applyAlignment="0" applyProtection="0"/>
    <xf numFmtId="0" fontId="17" fillId="8" borderId="11" applyNumberFormat="0" applyFont="0" applyAlignment="0" applyProtection="0"/>
    <xf numFmtId="167" fontId="16" fillId="0" borderId="0" applyFont="0" applyFill="0" applyBorder="0" applyAlignment="0" applyProtection="0"/>
    <xf numFmtId="174" fontId="16" fillId="0" borderId="0" applyFont="0" applyFill="0" applyBorder="0" applyAlignment="0" applyProtection="0"/>
    <xf numFmtId="0" fontId="56" fillId="0" borderId="0"/>
    <xf numFmtId="171" fontId="57" fillId="0" borderId="0"/>
    <xf numFmtId="171" fontId="57" fillId="0" borderId="0" applyBorder="0" applyProtection="0"/>
    <xf numFmtId="171" fontId="57" fillId="0" borderId="0"/>
    <xf numFmtId="171" fontId="57" fillId="0" borderId="0" applyBorder="0" applyProtection="0"/>
    <xf numFmtId="171" fontId="57" fillId="0" borderId="0" applyBorder="0" applyProtection="0"/>
    <xf numFmtId="0" fontId="57" fillId="0" borderId="0" applyNumberFormat="0" applyBorder="0" applyProtection="0"/>
    <xf numFmtId="173" fontId="56" fillId="0" borderId="0"/>
    <xf numFmtId="173" fontId="57" fillId="0" borderId="0"/>
    <xf numFmtId="173" fontId="57" fillId="0" borderId="0" applyBorder="0" applyProtection="0"/>
    <xf numFmtId="173" fontId="57" fillId="0" borderId="0"/>
    <xf numFmtId="173" fontId="57" fillId="0" borderId="0" applyBorder="0" applyProtection="0"/>
    <xf numFmtId="173" fontId="57" fillId="0" borderId="0" applyBorder="0" applyProtection="0"/>
    <xf numFmtId="173" fontId="57" fillId="0" borderId="0" applyBorder="0" applyProtection="0"/>
    <xf numFmtId="166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0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9" fontId="53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9" fontId="16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4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9" fontId="53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45" fillId="0" borderId="0" applyFont="0" applyFill="0" applyBorder="0" applyAlignment="0" applyProtection="0"/>
    <xf numFmtId="169" fontId="53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4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45" fillId="0" borderId="0" applyFont="0" applyFill="0" applyBorder="0" applyAlignment="0" applyProtection="0"/>
    <xf numFmtId="169" fontId="53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45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4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16" fillId="0" borderId="0" applyFont="0" applyFill="0" applyBorder="0" applyAlignment="0" applyProtection="0"/>
    <xf numFmtId="168" fontId="45" fillId="0" borderId="0" applyFont="0" applyFill="0" applyBorder="0" applyAlignment="0" applyProtection="0"/>
    <xf numFmtId="43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168" fontId="40" fillId="0" borderId="0" applyFont="0" applyFill="0" applyBorder="0" applyAlignment="0" applyProtection="0"/>
    <xf numFmtId="43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3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" fillId="0" borderId="0"/>
    <xf numFmtId="0" fontId="9" fillId="0" borderId="0"/>
    <xf numFmtId="0" fontId="18" fillId="0" borderId="0">
      <alignment vertical="top"/>
    </xf>
    <xf numFmtId="0" fontId="18" fillId="0" borderId="0">
      <alignment vertical="top"/>
    </xf>
    <xf numFmtId="0" fontId="18" fillId="0" borderId="0">
      <alignment vertical="top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8" fillId="0" borderId="0">
      <alignment vertical="top"/>
    </xf>
    <xf numFmtId="0" fontId="18" fillId="0" borderId="0">
      <alignment vertical="top"/>
    </xf>
    <xf numFmtId="0" fontId="9" fillId="0" borderId="0"/>
    <xf numFmtId="0" fontId="9" fillId="0" borderId="0"/>
    <xf numFmtId="0" fontId="58" fillId="0" borderId="0">
      <alignment vertical="top"/>
    </xf>
    <xf numFmtId="0" fontId="9" fillId="0" borderId="0"/>
    <xf numFmtId="0" fontId="19" fillId="0" borderId="0"/>
    <xf numFmtId="166" fontId="39" fillId="0" borderId="0" applyFont="0" applyFill="0" applyBorder="0" applyAlignment="0" applyProtection="0"/>
    <xf numFmtId="166" fontId="39" fillId="0" borderId="0" applyFont="0" applyFill="0" applyBorder="0" applyAlignment="0" applyProtection="0"/>
    <xf numFmtId="0" fontId="59" fillId="0" borderId="0"/>
    <xf numFmtId="168" fontId="39" fillId="0" borderId="0" applyFont="0" applyFill="0" applyBorder="0" applyAlignment="0" applyProtection="0"/>
    <xf numFmtId="9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>
      <alignment vertical="top"/>
    </xf>
    <xf numFmtId="0" fontId="7" fillId="0" borderId="0"/>
    <xf numFmtId="0" fontId="7" fillId="0" borderId="0"/>
    <xf numFmtId="0" fontId="62" fillId="0" borderId="0">
      <alignment horizontal="left" vertical="top"/>
    </xf>
    <xf numFmtId="0" fontId="6" fillId="0" borderId="0"/>
    <xf numFmtId="0" fontId="6" fillId="0" borderId="0"/>
    <xf numFmtId="0" fontId="17" fillId="0" borderId="0"/>
    <xf numFmtId="0" fontId="63" fillId="0" borderId="0" applyNumberFormat="0" applyFill="0" applyBorder="0" applyAlignment="0" applyProtection="0"/>
    <xf numFmtId="0" fontId="17" fillId="0" borderId="0"/>
    <xf numFmtId="0" fontId="62" fillId="0" borderId="0">
      <alignment horizontal="center" vertical="center"/>
    </xf>
    <xf numFmtId="0" fontId="17" fillId="0" borderId="0"/>
    <xf numFmtId="0" fontId="17" fillId="0" borderId="0"/>
    <xf numFmtId="0" fontId="6" fillId="0" borderId="0"/>
    <xf numFmtId="0" fontId="6" fillId="0" borderId="0"/>
    <xf numFmtId="0" fontId="64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9" fillId="0" borderId="0"/>
    <xf numFmtId="0" fontId="5" fillId="0" borderId="0"/>
    <xf numFmtId="0" fontId="5" fillId="0" borderId="0"/>
    <xf numFmtId="166" fontId="39" fillId="0" borderId="0" applyFont="0" applyFill="0" applyBorder="0" applyAlignment="0" applyProtection="0"/>
    <xf numFmtId="0" fontId="66" fillId="0" borderId="0" applyNumberFormat="0" applyFill="0" applyBorder="0" applyAlignment="0" applyProtection="0">
      <alignment vertical="top"/>
      <protection locked="0"/>
    </xf>
    <xf numFmtId="0" fontId="39" fillId="0" borderId="0"/>
    <xf numFmtId="0" fontId="5" fillId="0" borderId="0"/>
    <xf numFmtId="0" fontId="40" fillId="0" borderId="0"/>
    <xf numFmtId="0" fontId="5" fillId="0" borderId="0"/>
    <xf numFmtId="0" fontId="65" fillId="0" borderId="0"/>
    <xf numFmtId="0" fontId="5" fillId="0" borderId="0"/>
    <xf numFmtId="0" fontId="5" fillId="0" borderId="0"/>
    <xf numFmtId="168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0" borderId="0">
      <alignment vertical="top"/>
    </xf>
    <xf numFmtId="0" fontId="1" fillId="0" borderId="0"/>
    <xf numFmtId="0" fontId="18" fillId="0" borderId="0">
      <alignment vertical="top"/>
    </xf>
    <xf numFmtId="0" fontId="1" fillId="0" borderId="0"/>
    <xf numFmtId="0" fontId="17" fillId="0" borderId="0"/>
    <xf numFmtId="0" fontId="18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5">
    <xf numFmtId="0" fontId="0" fillId="0" borderId="0" xfId="0">
      <alignment vertical="top"/>
    </xf>
    <xf numFmtId="0" fontId="16" fillId="0" borderId="0" xfId="1"/>
    <xf numFmtId="164" fontId="16" fillId="0" borderId="0" xfId="1" applyNumberFormat="1"/>
    <xf numFmtId="0" fontId="16" fillId="0" borderId="0" xfId="1" applyFill="1"/>
    <xf numFmtId="0" fontId="16" fillId="0" borderId="0" xfId="1" applyAlignment="1"/>
    <xf numFmtId="0" fontId="20" fillId="0" borderId="1" xfId="1" applyFont="1" applyBorder="1" applyAlignment="1">
      <alignment horizontal="left" vertical="center" wrapText="1"/>
    </xf>
    <xf numFmtId="0" fontId="16" fillId="0" borderId="0" xfId="1" applyAlignment="1">
      <alignment vertical="center" wrapText="1"/>
    </xf>
    <xf numFmtId="0" fontId="61" fillId="0" borderId="3" xfId="0" applyFont="1" applyFill="1" applyBorder="1" applyAlignment="1">
      <alignment horizontal="left"/>
    </xf>
    <xf numFmtId="0" fontId="60" fillId="0" borderId="3" xfId="0" applyFont="1" applyFill="1" applyBorder="1" applyAlignment="1">
      <alignment horizontal="left" vertical="center"/>
    </xf>
    <xf numFmtId="165" fontId="60" fillId="0" borderId="3" xfId="0" applyNumberFormat="1" applyFont="1" applyFill="1" applyBorder="1" applyAlignment="1">
      <alignment horizontal="center" vertical="center"/>
    </xf>
    <xf numFmtId="0" fontId="0" fillId="0" borderId="0" xfId="0">
      <alignment vertical="top"/>
    </xf>
    <xf numFmtId="0" fontId="20" fillId="0" borderId="2" xfId="1" applyFont="1" applyBorder="1" applyAlignment="1">
      <alignment horizontal="center" vertical="center" wrapText="1"/>
    </xf>
    <xf numFmtId="0" fontId="68" fillId="0" borderId="1" xfId="0" applyFont="1" applyFill="1" applyBorder="1" applyAlignment="1">
      <alignment vertical="top"/>
    </xf>
    <xf numFmtId="3" fontId="69" fillId="0" borderId="13" xfId="1" applyNumberFormat="1" applyFont="1" applyFill="1" applyBorder="1" applyAlignment="1">
      <alignment horizontal="center" vertical="center"/>
    </xf>
    <xf numFmtId="0" fontId="70" fillId="0" borderId="14" xfId="1" applyFont="1" applyBorder="1" applyAlignment="1">
      <alignment horizontal="center" vertical="center" wrapText="1"/>
    </xf>
    <xf numFmtId="0" fontId="0" fillId="0" borderId="0" xfId="0" applyBorder="1">
      <alignment vertical="top"/>
    </xf>
    <xf numFmtId="0" fontId="68" fillId="0" borderId="1" xfId="0" applyFont="1" applyFill="1" applyBorder="1">
      <alignment vertical="top"/>
    </xf>
    <xf numFmtId="0" fontId="68" fillId="0" borderId="1" xfId="631" applyFont="1" applyFill="1" applyBorder="1" applyAlignment="1">
      <alignment horizontal="left" vertical="top" wrapText="1"/>
    </xf>
    <xf numFmtId="3" fontId="68" fillId="0" borderId="13" xfId="0" applyNumberFormat="1" applyFont="1" applyFill="1" applyBorder="1" applyAlignment="1">
      <alignment horizontal="center" vertical="center"/>
    </xf>
    <xf numFmtId="0" fontId="68" fillId="34" borderId="1" xfId="0" applyFont="1" applyFill="1" applyBorder="1" applyAlignment="1">
      <alignment vertical="top"/>
    </xf>
    <xf numFmtId="0" fontId="68" fillId="34" borderId="1" xfId="631" applyFont="1" applyFill="1" applyBorder="1" applyAlignment="1">
      <alignment horizontal="left" vertical="top" wrapText="1"/>
    </xf>
    <xf numFmtId="3" fontId="69" fillId="34" borderId="13" xfId="1" applyNumberFormat="1" applyFont="1" applyFill="1" applyBorder="1" applyAlignment="1">
      <alignment horizontal="center" vertical="center"/>
    </xf>
    <xf numFmtId="0" fontId="68" fillId="34" borderId="1" xfId="0" applyFont="1" applyFill="1" applyBorder="1">
      <alignment vertical="top"/>
    </xf>
    <xf numFmtId="3" fontId="68" fillId="34" borderId="13" xfId="0" applyNumberFormat="1" applyFont="1" applyFill="1" applyBorder="1" applyAlignment="1">
      <alignment horizontal="center" vertical="center"/>
    </xf>
    <xf numFmtId="0" fontId="0" fillId="0" borderId="0" xfId="0" pivotButton="1">
      <alignment vertical="top"/>
    </xf>
    <xf numFmtId="0" fontId="0" fillId="0" borderId="0" xfId="0" applyAlignment="1">
      <alignment horizontal="left" vertical="top"/>
    </xf>
    <xf numFmtId="0" fontId="0" fillId="0" borderId="0" xfId="0" applyNumberFormat="1">
      <alignment vertical="top"/>
    </xf>
    <xf numFmtId="0" fontId="72" fillId="0" borderId="1" xfId="0" applyFont="1" applyBorder="1" applyAlignment="1">
      <alignment horizontal="left" vertical="top"/>
    </xf>
    <xf numFmtId="0" fontId="72" fillId="0" borderId="1" xfId="0" applyNumberFormat="1" applyFont="1" applyBorder="1">
      <alignment vertical="top"/>
    </xf>
    <xf numFmtId="0" fontId="71" fillId="0" borderId="0" xfId="0" applyFont="1">
      <alignment vertical="top"/>
    </xf>
    <xf numFmtId="0" fontId="71" fillId="0" borderId="1" xfId="0" applyFont="1" applyBorder="1">
      <alignment vertical="top"/>
    </xf>
    <xf numFmtId="0" fontId="71" fillId="35" borderId="1" xfId="0" applyFont="1" applyFill="1" applyBorder="1">
      <alignment vertical="top"/>
    </xf>
    <xf numFmtId="0" fontId="71" fillId="36" borderId="1" xfId="0" applyFont="1" applyFill="1" applyBorder="1">
      <alignment vertical="top"/>
    </xf>
    <xf numFmtId="0" fontId="71" fillId="35" borderId="0" xfId="0" applyFont="1" applyFill="1">
      <alignment vertical="top"/>
    </xf>
    <xf numFmtId="0" fontId="71" fillId="36" borderId="0" xfId="0" applyFont="1" applyFill="1">
      <alignment vertical="top"/>
    </xf>
  </cellXfs>
  <cellStyles count="650">
    <cellStyle name="%40 - Vurgu1 2" xfId="59" xr:uid="{00000000-0005-0000-0000-000000000000}"/>
    <cellStyle name="20% — акцент1 2" xfId="35" xr:uid="{00000000-0005-0000-0000-000001000000}"/>
    <cellStyle name="20% — акцент2 2" xfId="39" xr:uid="{00000000-0005-0000-0000-000002000000}"/>
    <cellStyle name="20% — акцент3 2" xfId="43" xr:uid="{00000000-0005-0000-0000-000003000000}"/>
    <cellStyle name="20% — акцент4 2" xfId="47" xr:uid="{00000000-0005-0000-0000-000004000000}"/>
    <cellStyle name="20% — акцент5 2" xfId="51" xr:uid="{00000000-0005-0000-0000-000005000000}"/>
    <cellStyle name="20% — акцент6 2" xfId="55" xr:uid="{00000000-0005-0000-0000-000006000000}"/>
    <cellStyle name="40% — акцент1 2" xfId="36" xr:uid="{00000000-0005-0000-0000-000007000000}"/>
    <cellStyle name="40% — акцент2 2" xfId="40" xr:uid="{00000000-0005-0000-0000-000008000000}"/>
    <cellStyle name="40% — акцент3 2" xfId="44" xr:uid="{00000000-0005-0000-0000-000009000000}"/>
    <cellStyle name="40% — акцент4 2" xfId="48" xr:uid="{00000000-0005-0000-0000-00000A000000}"/>
    <cellStyle name="40% — акцент5 2" xfId="52" xr:uid="{00000000-0005-0000-0000-00000B000000}"/>
    <cellStyle name="40% — акцент6 2" xfId="56" xr:uid="{00000000-0005-0000-0000-00000C000000}"/>
    <cellStyle name="60% — акцент1 2" xfId="37" xr:uid="{00000000-0005-0000-0000-00000D000000}"/>
    <cellStyle name="60% — акцент2 2" xfId="41" xr:uid="{00000000-0005-0000-0000-00000E000000}"/>
    <cellStyle name="60% — акцент3 2" xfId="45" xr:uid="{00000000-0005-0000-0000-00000F000000}"/>
    <cellStyle name="60% — акцент4 2" xfId="49" xr:uid="{00000000-0005-0000-0000-000010000000}"/>
    <cellStyle name="60% — акцент5 2" xfId="53" xr:uid="{00000000-0005-0000-0000-000011000000}"/>
    <cellStyle name="60% — акцент6 2" xfId="57" xr:uid="{00000000-0005-0000-0000-000012000000}"/>
    <cellStyle name="Ana Başlık 2" xfId="60" xr:uid="{00000000-0005-0000-0000-000013000000}"/>
    <cellStyle name="Binlik Ayracı [0] 2" xfId="414" xr:uid="{00000000-0005-0000-0000-000014000000}"/>
    <cellStyle name="Binlik Ayracı [0] 3" xfId="415" xr:uid="{00000000-0005-0000-0000-000015000000}"/>
    <cellStyle name="Binlik Ayracı [0] 4" xfId="519" xr:uid="{00000000-0005-0000-0000-000016000000}"/>
    <cellStyle name="Comma_parça planlama" xfId="61" xr:uid="{00000000-0005-0000-0000-000016000000}"/>
    <cellStyle name="Excel Built-in Normal" xfId="62" xr:uid="{00000000-0005-0000-0000-000017000000}"/>
    <cellStyle name="Excel Built-in Normal 1" xfId="63" xr:uid="{00000000-0005-0000-0000-000018000000}"/>
    <cellStyle name="Excel Built-in Normal 1 2" xfId="64" xr:uid="{00000000-0005-0000-0000-000019000000}"/>
    <cellStyle name="Excel Built-in Normal 1 2 2" xfId="65" xr:uid="{00000000-0005-0000-0000-00001A000000}"/>
    <cellStyle name="Excel Built-in Normal 1 3" xfId="66" xr:uid="{00000000-0005-0000-0000-00001B000000}"/>
    <cellStyle name="Excel Built-in Normal 2" xfId="67" xr:uid="{00000000-0005-0000-0000-00001C000000}"/>
    <cellStyle name="Excel Built-in Normal 2 2" xfId="68" xr:uid="{00000000-0005-0000-0000-00001D000000}"/>
    <cellStyle name="Excel Built-in Normal 3" xfId="69" xr:uid="{00000000-0005-0000-0000-00001E000000}"/>
    <cellStyle name="Excel Built-in Normal 4" xfId="70" xr:uid="{00000000-0005-0000-0000-00001F000000}"/>
    <cellStyle name="Excel Built-in Percent" xfId="71" xr:uid="{00000000-0005-0000-0000-000020000000}"/>
    <cellStyle name="Excel Built-in Percent 1" xfId="72" xr:uid="{00000000-0005-0000-0000-000021000000}"/>
    <cellStyle name="Excel Built-in Percent 1 2" xfId="73" xr:uid="{00000000-0005-0000-0000-000022000000}"/>
    <cellStyle name="Excel Built-in Percent 2" xfId="74" xr:uid="{00000000-0005-0000-0000-000023000000}"/>
    <cellStyle name="Excel Built-in Percent 2 2" xfId="75" xr:uid="{00000000-0005-0000-0000-000024000000}"/>
    <cellStyle name="Excel Built-in Percent 2 3" xfId="76" xr:uid="{00000000-0005-0000-0000-000025000000}"/>
    <cellStyle name="Excel Built-in Percent 3" xfId="77" xr:uid="{00000000-0005-0000-0000-000026000000}"/>
    <cellStyle name="Heading" xfId="78" xr:uid="{00000000-0005-0000-0000-000027000000}"/>
    <cellStyle name="Heading 1" xfId="79" xr:uid="{00000000-0005-0000-0000-000028000000}"/>
    <cellStyle name="Heading 1 2" xfId="80" xr:uid="{00000000-0005-0000-0000-000029000000}"/>
    <cellStyle name="Heading 2" xfId="81" xr:uid="{00000000-0005-0000-0000-00002A000000}"/>
    <cellStyle name="Heading 2 2" xfId="82" xr:uid="{00000000-0005-0000-0000-00002B000000}"/>
    <cellStyle name="Heading 3" xfId="83" xr:uid="{00000000-0005-0000-0000-00002C000000}"/>
    <cellStyle name="Heading 4" xfId="84" xr:uid="{00000000-0005-0000-0000-00002D000000}"/>
    <cellStyle name="Heading1" xfId="85" xr:uid="{00000000-0005-0000-0000-00002E000000}"/>
    <cellStyle name="Heading1 1" xfId="86" xr:uid="{00000000-0005-0000-0000-00002F000000}"/>
    <cellStyle name="Heading1 1 2" xfId="87" xr:uid="{00000000-0005-0000-0000-000030000000}"/>
    <cellStyle name="Heading1 2" xfId="88" xr:uid="{00000000-0005-0000-0000-000031000000}"/>
    <cellStyle name="Heading1 2 2" xfId="89" xr:uid="{00000000-0005-0000-0000-000032000000}"/>
    <cellStyle name="Heading1 3" xfId="90" xr:uid="{00000000-0005-0000-0000-000033000000}"/>
    <cellStyle name="Heading1 4" xfId="91" xr:uid="{00000000-0005-0000-0000-000034000000}"/>
    <cellStyle name="Köprü 2" xfId="92" xr:uid="{00000000-0005-0000-0000-000035000000}"/>
    <cellStyle name="Köprü 2 2" xfId="93" xr:uid="{00000000-0005-0000-0000-000036000000}"/>
    <cellStyle name="Köprü 2 3" xfId="454" xr:uid="{00000000-0005-0000-0000-000000000000}"/>
    <cellStyle name="Köprü 2 3 2" xfId="520" xr:uid="{00000000-0005-0000-0000-000038000000}"/>
    <cellStyle name="Köprü 3" xfId="94" xr:uid="{00000000-0005-0000-0000-000037000000}"/>
    <cellStyle name="Köprü 4" xfId="95" xr:uid="{00000000-0005-0000-0000-000038000000}"/>
    <cellStyle name="Normal 10" xfId="96" xr:uid="{00000000-0005-0000-0000-000039000000}"/>
    <cellStyle name="Normal 10 2" xfId="97" xr:uid="{00000000-0005-0000-0000-00003A000000}"/>
    <cellStyle name="Normal 10 2 2" xfId="98" xr:uid="{00000000-0005-0000-0000-00003B000000}"/>
    <cellStyle name="Normal 10 2 3" xfId="99" xr:uid="{00000000-0005-0000-0000-00003C000000}"/>
    <cellStyle name="Normal 10 2 4" xfId="460" xr:uid="{00000000-0005-0000-0000-000002000000}"/>
    <cellStyle name="Normal 10 3" xfId="100" xr:uid="{00000000-0005-0000-0000-00003D000000}"/>
    <cellStyle name="Normal 10 3 2" xfId="101" xr:uid="{00000000-0005-0000-0000-00003E000000}"/>
    <cellStyle name="Normal 10 4" xfId="102" xr:uid="{00000000-0005-0000-0000-00003F000000}"/>
    <cellStyle name="Normal 10 5" xfId="452" xr:uid="{00000000-0005-0000-0000-000001000000}"/>
    <cellStyle name="Normal 100" xfId="103" xr:uid="{00000000-0005-0000-0000-000040000000}"/>
    <cellStyle name="Normal 101" xfId="104" xr:uid="{00000000-0005-0000-0000-000041000000}"/>
    <cellStyle name="Normal 102" xfId="105" xr:uid="{00000000-0005-0000-0000-000042000000}"/>
    <cellStyle name="Normal 103" xfId="106" xr:uid="{00000000-0005-0000-0000-000043000000}"/>
    <cellStyle name="Normal 104" xfId="107" xr:uid="{00000000-0005-0000-0000-000044000000}"/>
    <cellStyle name="Normal 104 2" xfId="108" xr:uid="{00000000-0005-0000-0000-000045000000}"/>
    <cellStyle name="Normal 105" xfId="109" xr:uid="{00000000-0005-0000-0000-000046000000}"/>
    <cellStyle name="Normal 106" xfId="110" xr:uid="{00000000-0005-0000-0000-000047000000}"/>
    <cellStyle name="Normal 106 2" xfId="111" xr:uid="{00000000-0005-0000-0000-000048000000}"/>
    <cellStyle name="Normal 107" xfId="112" xr:uid="{00000000-0005-0000-0000-000049000000}"/>
    <cellStyle name="Normal 108" xfId="113" xr:uid="{00000000-0005-0000-0000-00004A000000}"/>
    <cellStyle name="Normal 109" xfId="58" xr:uid="{00000000-0005-0000-0000-00004B000000}"/>
    <cellStyle name="Normal 11" xfId="114" xr:uid="{00000000-0005-0000-0000-00004C000000}"/>
    <cellStyle name="Normal 11 2" xfId="115" xr:uid="{00000000-0005-0000-0000-00004D000000}"/>
    <cellStyle name="Normal 12" xfId="116" xr:uid="{00000000-0005-0000-0000-00004E000000}"/>
    <cellStyle name="Normal 12 2" xfId="117" xr:uid="{00000000-0005-0000-0000-00004F000000}"/>
    <cellStyle name="Normal 13" xfId="118" xr:uid="{00000000-0005-0000-0000-000050000000}"/>
    <cellStyle name="Normal 13 2" xfId="119" xr:uid="{00000000-0005-0000-0000-000051000000}"/>
    <cellStyle name="Normal 14" xfId="120" xr:uid="{00000000-0005-0000-0000-000052000000}"/>
    <cellStyle name="Normal 15" xfId="121" xr:uid="{00000000-0005-0000-0000-000053000000}"/>
    <cellStyle name="Normal 16" xfId="122" xr:uid="{00000000-0005-0000-0000-000054000000}"/>
    <cellStyle name="Normal 17" xfId="123" xr:uid="{00000000-0005-0000-0000-000055000000}"/>
    <cellStyle name="Normal 18" xfId="124" xr:uid="{00000000-0005-0000-0000-000056000000}"/>
    <cellStyle name="Normal 19" xfId="125" xr:uid="{00000000-0005-0000-0000-000057000000}"/>
    <cellStyle name="Normal 2" xfId="126" xr:uid="{00000000-0005-0000-0000-000058000000}"/>
    <cellStyle name="Normal 2 2" xfId="127" xr:uid="{00000000-0005-0000-0000-000059000000}"/>
    <cellStyle name="Normal 2 2 12 2 2" xfId="457" xr:uid="{00000000-0005-0000-0000-000005000000}"/>
    <cellStyle name="Normal 2 2 14" xfId="453" xr:uid="{00000000-0005-0000-0000-000006000000}"/>
    <cellStyle name="Normal 2 2 2" xfId="128" xr:uid="{00000000-0005-0000-0000-00005A000000}"/>
    <cellStyle name="Normal 2 2 2 2" xfId="129" xr:uid="{00000000-0005-0000-0000-00005B000000}"/>
    <cellStyle name="Normal 2 2 2 3" xfId="130" xr:uid="{00000000-0005-0000-0000-00005C000000}"/>
    <cellStyle name="Normal 2 2 2 3 2" xfId="131" xr:uid="{00000000-0005-0000-0000-00005D000000}"/>
    <cellStyle name="Normal 2 2 3" xfId="132" xr:uid="{00000000-0005-0000-0000-00005E000000}"/>
    <cellStyle name="Normal 2 2 4" xfId="133" xr:uid="{00000000-0005-0000-0000-00005F000000}"/>
    <cellStyle name="Normal 2 2 4 2 2 2" xfId="455" xr:uid="{00000000-0005-0000-0000-000009000000}"/>
    <cellStyle name="Normal 2 2 5" xfId="134" xr:uid="{00000000-0005-0000-0000-000060000000}"/>
    <cellStyle name="Normal 2 2 6" xfId="135" xr:uid="{00000000-0005-0000-0000-000061000000}"/>
    <cellStyle name="Normal 2 2 7" xfId="521" xr:uid="{00000000-0005-0000-0000-000064000000}"/>
    <cellStyle name="Normal 2 3" xfId="136" xr:uid="{00000000-0005-0000-0000-000062000000}"/>
    <cellStyle name="Normal 2 3 2" xfId="137" xr:uid="{00000000-0005-0000-0000-000063000000}"/>
    <cellStyle name="Normal 2 3 2 2" xfId="138" xr:uid="{00000000-0005-0000-0000-000064000000}"/>
    <cellStyle name="Normal 2 3 3" xfId="139" xr:uid="{00000000-0005-0000-0000-000065000000}"/>
    <cellStyle name="Normal 2 3 4" xfId="140" xr:uid="{00000000-0005-0000-0000-000066000000}"/>
    <cellStyle name="Normal 2 4" xfId="141" xr:uid="{00000000-0005-0000-0000-000067000000}"/>
    <cellStyle name="Normal 2 5" xfId="142" xr:uid="{00000000-0005-0000-0000-000068000000}"/>
    <cellStyle name="Normal 2 6" xfId="143" xr:uid="{00000000-0005-0000-0000-000069000000}"/>
    <cellStyle name="Normal 2 7" xfId="144" xr:uid="{00000000-0005-0000-0000-00006A000000}"/>
    <cellStyle name="Normal 2 8" xfId="145" xr:uid="{00000000-0005-0000-0000-00006B000000}"/>
    <cellStyle name="Normal 20" xfId="146" xr:uid="{00000000-0005-0000-0000-00006C000000}"/>
    <cellStyle name="Normal 21" xfId="147" xr:uid="{00000000-0005-0000-0000-00006D000000}"/>
    <cellStyle name="Normal 22" xfId="148" xr:uid="{00000000-0005-0000-0000-00006E000000}"/>
    <cellStyle name="Normal 22 2" xfId="458" xr:uid="{00000000-0005-0000-0000-00000B000000}"/>
    <cellStyle name="Normal 23" xfId="149" xr:uid="{00000000-0005-0000-0000-00006F000000}"/>
    <cellStyle name="Normal 24" xfId="150" xr:uid="{00000000-0005-0000-0000-000070000000}"/>
    <cellStyle name="Normal 25" xfId="151" xr:uid="{00000000-0005-0000-0000-000071000000}"/>
    <cellStyle name="Normal 26" xfId="152" xr:uid="{00000000-0005-0000-0000-000072000000}"/>
    <cellStyle name="Normal 27" xfId="153" xr:uid="{00000000-0005-0000-0000-000073000000}"/>
    <cellStyle name="Normal 28" xfId="154" xr:uid="{00000000-0005-0000-0000-000074000000}"/>
    <cellStyle name="Normal 29" xfId="155" xr:uid="{00000000-0005-0000-0000-000075000000}"/>
    <cellStyle name="Normal 3" xfId="156" xr:uid="{00000000-0005-0000-0000-000076000000}"/>
    <cellStyle name="Normal 3 2" xfId="157" xr:uid="{00000000-0005-0000-0000-000077000000}"/>
    <cellStyle name="Normal 3 2 2" xfId="158" xr:uid="{00000000-0005-0000-0000-000078000000}"/>
    <cellStyle name="Normal 3 2 3" xfId="159" xr:uid="{00000000-0005-0000-0000-000079000000}"/>
    <cellStyle name="Normal 3 2 3 2" xfId="160" xr:uid="{00000000-0005-0000-0000-00007A000000}"/>
    <cellStyle name="Normal 3 2 4" xfId="161" xr:uid="{00000000-0005-0000-0000-00007B000000}"/>
    <cellStyle name="Normal 3 2 5" xfId="162" xr:uid="{00000000-0005-0000-0000-00007C000000}"/>
    <cellStyle name="Normal 3 3" xfId="163" xr:uid="{00000000-0005-0000-0000-00007D000000}"/>
    <cellStyle name="Normal 3 3 2" xfId="164" xr:uid="{00000000-0005-0000-0000-00007E000000}"/>
    <cellStyle name="Normal 3 3 2 2" xfId="165" xr:uid="{00000000-0005-0000-0000-00007F000000}"/>
    <cellStyle name="Normal 3 3 3" xfId="166" xr:uid="{00000000-0005-0000-0000-000080000000}"/>
    <cellStyle name="Normal 3 3 4" xfId="167" xr:uid="{00000000-0005-0000-0000-000081000000}"/>
    <cellStyle name="Normal 3 4" xfId="168" xr:uid="{00000000-0005-0000-0000-000082000000}"/>
    <cellStyle name="Normal 3 5" xfId="169" xr:uid="{00000000-0005-0000-0000-000083000000}"/>
    <cellStyle name="Normal 3 6" xfId="170" xr:uid="{00000000-0005-0000-0000-000084000000}"/>
    <cellStyle name="Normal 3 6 2" xfId="171" xr:uid="{00000000-0005-0000-0000-000085000000}"/>
    <cellStyle name="Normal 3_GENEL GİD.DEĞERLEME" xfId="172" xr:uid="{00000000-0005-0000-0000-000086000000}"/>
    <cellStyle name="Normal 30" xfId="173" xr:uid="{00000000-0005-0000-0000-000087000000}"/>
    <cellStyle name="Normal 31" xfId="174" xr:uid="{00000000-0005-0000-0000-000088000000}"/>
    <cellStyle name="Normal 32" xfId="175" xr:uid="{00000000-0005-0000-0000-000089000000}"/>
    <cellStyle name="Normal 33" xfId="176" xr:uid="{00000000-0005-0000-0000-00008A000000}"/>
    <cellStyle name="Normal 34" xfId="177" xr:uid="{00000000-0005-0000-0000-00008B000000}"/>
    <cellStyle name="Normal 35" xfId="178" xr:uid="{00000000-0005-0000-0000-00008C000000}"/>
    <cellStyle name="Normal 36" xfId="179" xr:uid="{00000000-0005-0000-0000-00008D000000}"/>
    <cellStyle name="Normal 37" xfId="180" xr:uid="{00000000-0005-0000-0000-00008E000000}"/>
    <cellStyle name="Normal 38" xfId="181" xr:uid="{00000000-0005-0000-0000-00008F000000}"/>
    <cellStyle name="Normal 39" xfId="182" xr:uid="{00000000-0005-0000-0000-000090000000}"/>
    <cellStyle name="Normal 4" xfId="183" xr:uid="{00000000-0005-0000-0000-000091000000}"/>
    <cellStyle name="Normal 4 2" xfId="184" xr:uid="{00000000-0005-0000-0000-000092000000}"/>
    <cellStyle name="Normal 4 2 2" xfId="185" xr:uid="{00000000-0005-0000-0000-000093000000}"/>
    <cellStyle name="Normal 4 2 2 2" xfId="186" xr:uid="{00000000-0005-0000-0000-000094000000}"/>
    <cellStyle name="Normal 4 3" xfId="187" xr:uid="{00000000-0005-0000-0000-000095000000}"/>
    <cellStyle name="Normal 4 3 2" xfId="188" xr:uid="{00000000-0005-0000-0000-000096000000}"/>
    <cellStyle name="Normal 4 3 3" xfId="189" xr:uid="{00000000-0005-0000-0000-000097000000}"/>
    <cellStyle name="Normal 4 4" xfId="190" xr:uid="{00000000-0005-0000-0000-000098000000}"/>
    <cellStyle name="Normal 4 4 2" xfId="191" xr:uid="{00000000-0005-0000-0000-000099000000}"/>
    <cellStyle name="Normal 4 4 3" xfId="192" xr:uid="{00000000-0005-0000-0000-00009A000000}"/>
    <cellStyle name="Normal 4 5" xfId="193" xr:uid="{00000000-0005-0000-0000-00009B000000}"/>
    <cellStyle name="Normal 4 6" xfId="451" xr:uid="{00000000-0005-0000-0000-00000C000000}"/>
    <cellStyle name="Normal 4 6 2" xfId="523" xr:uid="{00000000-0005-0000-0000-00009F000000}"/>
    <cellStyle name="Normal 40" xfId="194" xr:uid="{00000000-0005-0000-0000-00009C000000}"/>
    <cellStyle name="Normal 41" xfId="195" xr:uid="{00000000-0005-0000-0000-00009D000000}"/>
    <cellStyle name="Normal 42" xfId="196" xr:uid="{00000000-0005-0000-0000-00009E000000}"/>
    <cellStyle name="Normal 43" xfId="197" xr:uid="{00000000-0005-0000-0000-00009F000000}"/>
    <cellStyle name="Normal 44" xfId="198" xr:uid="{00000000-0005-0000-0000-0000A0000000}"/>
    <cellStyle name="Normal 45" xfId="199" xr:uid="{00000000-0005-0000-0000-0000A1000000}"/>
    <cellStyle name="Normal 46" xfId="200" xr:uid="{00000000-0005-0000-0000-0000A2000000}"/>
    <cellStyle name="Normal 47" xfId="201" xr:uid="{00000000-0005-0000-0000-0000A3000000}"/>
    <cellStyle name="Normal 48" xfId="202" xr:uid="{00000000-0005-0000-0000-0000A4000000}"/>
    <cellStyle name="Normal 49" xfId="203" xr:uid="{00000000-0005-0000-0000-0000A5000000}"/>
    <cellStyle name="Normal 5" xfId="204" xr:uid="{00000000-0005-0000-0000-0000A6000000}"/>
    <cellStyle name="Normal 5 2" xfId="205" xr:uid="{00000000-0005-0000-0000-0000A7000000}"/>
    <cellStyle name="Normal 5 2 2" xfId="206" xr:uid="{00000000-0005-0000-0000-0000A8000000}"/>
    <cellStyle name="Normal 5 2 3" xfId="207" xr:uid="{00000000-0005-0000-0000-0000A9000000}"/>
    <cellStyle name="Normal 5 3" xfId="208" xr:uid="{00000000-0005-0000-0000-0000AA000000}"/>
    <cellStyle name="Normal 5 3 2" xfId="209" xr:uid="{00000000-0005-0000-0000-0000AB000000}"/>
    <cellStyle name="Normal 5 4" xfId="210" xr:uid="{00000000-0005-0000-0000-0000AC000000}"/>
    <cellStyle name="Normal 5 5" xfId="211" xr:uid="{00000000-0005-0000-0000-0000AD000000}"/>
    <cellStyle name="Normal 5 5 2" xfId="212" xr:uid="{00000000-0005-0000-0000-0000AE000000}"/>
    <cellStyle name="Normal 5 5 3" xfId="213" xr:uid="{00000000-0005-0000-0000-0000AF000000}"/>
    <cellStyle name="Normal 50" xfId="214" xr:uid="{00000000-0005-0000-0000-0000B0000000}"/>
    <cellStyle name="Normal 51" xfId="215" xr:uid="{00000000-0005-0000-0000-0000B1000000}"/>
    <cellStyle name="Normal 52" xfId="216" xr:uid="{00000000-0005-0000-0000-0000B2000000}"/>
    <cellStyle name="Normal 53" xfId="217" xr:uid="{00000000-0005-0000-0000-0000B3000000}"/>
    <cellStyle name="Normal 54" xfId="218" xr:uid="{00000000-0005-0000-0000-0000B4000000}"/>
    <cellStyle name="Normal 55" xfId="219" xr:uid="{00000000-0005-0000-0000-0000B5000000}"/>
    <cellStyle name="Normal 56" xfId="220" xr:uid="{00000000-0005-0000-0000-0000B6000000}"/>
    <cellStyle name="Normal 57" xfId="221" xr:uid="{00000000-0005-0000-0000-0000B7000000}"/>
    <cellStyle name="Normal 58" xfId="222" xr:uid="{00000000-0005-0000-0000-0000B8000000}"/>
    <cellStyle name="Normal 59" xfId="223" xr:uid="{00000000-0005-0000-0000-0000B9000000}"/>
    <cellStyle name="Normal 6" xfId="224" xr:uid="{00000000-0005-0000-0000-0000BA000000}"/>
    <cellStyle name="Normal 6 2" xfId="225" xr:uid="{00000000-0005-0000-0000-0000BB000000}"/>
    <cellStyle name="Normal 6 2 2" xfId="226" xr:uid="{00000000-0005-0000-0000-0000BC000000}"/>
    <cellStyle name="Normal 6 3" xfId="227" xr:uid="{00000000-0005-0000-0000-0000BD000000}"/>
    <cellStyle name="Normal 60" xfId="228" xr:uid="{00000000-0005-0000-0000-0000BE000000}"/>
    <cellStyle name="Normal 61" xfId="229" xr:uid="{00000000-0005-0000-0000-0000BF000000}"/>
    <cellStyle name="Normal 62" xfId="230" xr:uid="{00000000-0005-0000-0000-0000C0000000}"/>
    <cellStyle name="Normal 63" xfId="231" xr:uid="{00000000-0005-0000-0000-0000C1000000}"/>
    <cellStyle name="Normal 64" xfId="232" xr:uid="{00000000-0005-0000-0000-0000C2000000}"/>
    <cellStyle name="Normal 65" xfId="233" xr:uid="{00000000-0005-0000-0000-0000C3000000}"/>
    <cellStyle name="Normal 66" xfId="234" xr:uid="{00000000-0005-0000-0000-0000C4000000}"/>
    <cellStyle name="Normal 67" xfId="235" xr:uid="{00000000-0005-0000-0000-0000C5000000}"/>
    <cellStyle name="Normal 68" xfId="236" xr:uid="{00000000-0005-0000-0000-0000C6000000}"/>
    <cellStyle name="Normal 69" xfId="237" xr:uid="{00000000-0005-0000-0000-0000C7000000}"/>
    <cellStyle name="Normal 7" xfId="238" xr:uid="{00000000-0005-0000-0000-0000C8000000}"/>
    <cellStyle name="Normal 7 2" xfId="239" xr:uid="{00000000-0005-0000-0000-0000C9000000}"/>
    <cellStyle name="Normal 7 2 2" xfId="240" xr:uid="{00000000-0005-0000-0000-0000CA000000}"/>
    <cellStyle name="Normal 7 2 3" xfId="241" xr:uid="{00000000-0005-0000-0000-0000CB000000}"/>
    <cellStyle name="Normal 7 3" xfId="242" xr:uid="{00000000-0005-0000-0000-0000CC000000}"/>
    <cellStyle name="Normal 7 4" xfId="243" xr:uid="{00000000-0005-0000-0000-0000CD000000}"/>
    <cellStyle name="Normal 70" xfId="244" xr:uid="{00000000-0005-0000-0000-0000CE000000}"/>
    <cellStyle name="Normal 71" xfId="245" xr:uid="{00000000-0005-0000-0000-0000CF000000}"/>
    <cellStyle name="Normal 72" xfId="246" xr:uid="{00000000-0005-0000-0000-0000D0000000}"/>
    <cellStyle name="Normal 73" xfId="247" xr:uid="{00000000-0005-0000-0000-0000D1000000}"/>
    <cellStyle name="Normal 74" xfId="248" xr:uid="{00000000-0005-0000-0000-0000D2000000}"/>
    <cellStyle name="Normal 75" xfId="249" xr:uid="{00000000-0005-0000-0000-0000D3000000}"/>
    <cellStyle name="Normal 76" xfId="250" xr:uid="{00000000-0005-0000-0000-0000D4000000}"/>
    <cellStyle name="Normal 77" xfId="251" xr:uid="{00000000-0005-0000-0000-0000D5000000}"/>
    <cellStyle name="Normal 78" xfId="252" xr:uid="{00000000-0005-0000-0000-0000D6000000}"/>
    <cellStyle name="Normal 79" xfId="253" xr:uid="{00000000-0005-0000-0000-0000D7000000}"/>
    <cellStyle name="Normal 8" xfId="254" xr:uid="{00000000-0005-0000-0000-0000D8000000}"/>
    <cellStyle name="Normal 8 2" xfId="255" xr:uid="{00000000-0005-0000-0000-0000D9000000}"/>
    <cellStyle name="Normal 8 2 2" xfId="256" xr:uid="{00000000-0005-0000-0000-0000DA000000}"/>
    <cellStyle name="Normal 8 2 3" xfId="257" xr:uid="{00000000-0005-0000-0000-0000DB000000}"/>
    <cellStyle name="Normal 8 2 4" xfId="258" xr:uid="{00000000-0005-0000-0000-0000DC000000}"/>
    <cellStyle name="Normal 8 3" xfId="259" xr:uid="{00000000-0005-0000-0000-0000DD000000}"/>
    <cellStyle name="Normal 8 4" xfId="260" xr:uid="{00000000-0005-0000-0000-0000DE000000}"/>
    <cellStyle name="Normal 8 5" xfId="261" xr:uid="{00000000-0005-0000-0000-0000DF000000}"/>
    <cellStyle name="Normal 80" xfId="262" xr:uid="{00000000-0005-0000-0000-0000E0000000}"/>
    <cellStyle name="Normal 81" xfId="263" xr:uid="{00000000-0005-0000-0000-0000E1000000}"/>
    <cellStyle name="Normal 82" xfId="264" xr:uid="{00000000-0005-0000-0000-0000E2000000}"/>
    <cellStyle name="Normal 83" xfId="265" xr:uid="{00000000-0005-0000-0000-0000E3000000}"/>
    <cellStyle name="Normal 84" xfId="266" xr:uid="{00000000-0005-0000-0000-0000E4000000}"/>
    <cellStyle name="Normal 85" xfId="267" xr:uid="{00000000-0005-0000-0000-0000E5000000}"/>
    <cellStyle name="Normal 86" xfId="268" xr:uid="{00000000-0005-0000-0000-0000E6000000}"/>
    <cellStyle name="Normal 87" xfId="269" xr:uid="{00000000-0005-0000-0000-0000E7000000}"/>
    <cellStyle name="Normal 88" xfId="270" xr:uid="{00000000-0005-0000-0000-0000E8000000}"/>
    <cellStyle name="Normal 89" xfId="271" xr:uid="{00000000-0005-0000-0000-0000E9000000}"/>
    <cellStyle name="Normal 9" xfId="272" xr:uid="{00000000-0005-0000-0000-0000EA000000}"/>
    <cellStyle name="Normal 9 2" xfId="273" xr:uid="{00000000-0005-0000-0000-0000EB000000}"/>
    <cellStyle name="Normal 9 2 2" xfId="274" xr:uid="{00000000-0005-0000-0000-0000EC000000}"/>
    <cellStyle name="Normal 9 3" xfId="275" xr:uid="{00000000-0005-0000-0000-0000ED000000}"/>
    <cellStyle name="Normal 9 4" xfId="276" xr:uid="{00000000-0005-0000-0000-0000EE000000}"/>
    <cellStyle name="Normal 90" xfId="277" xr:uid="{00000000-0005-0000-0000-0000EF000000}"/>
    <cellStyle name="Normal 91" xfId="278" xr:uid="{00000000-0005-0000-0000-0000F0000000}"/>
    <cellStyle name="Normal 92" xfId="279" xr:uid="{00000000-0005-0000-0000-0000F1000000}"/>
    <cellStyle name="Normal 93" xfId="280" xr:uid="{00000000-0005-0000-0000-0000F2000000}"/>
    <cellStyle name="Normal 94" xfId="281" xr:uid="{00000000-0005-0000-0000-0000F3000000}"/>
    <cellStyle name="Normal 95" xfId="282" xr:uid="{00000000-0005-0000-0000-0000F4000000}"/>
    <cellStyle name="Normal 96" xfId="283" xr:uid="{00000000-0005-0000-0000-0000F5000000}"/>
    <cellStyle name="Normal 97" xfId="284" xr:uid="{00000000-0005-0000-0000-0000F6000000}"/>
    <cellStyle name="Normal 98" xfId="285" xr:uid="{00000000-0005-0000-0000-0000F7000000}"/>
    <cellStyle name="Normal 99" xfId="286" xr:uid="{00000000-0005-0000-0000-0000F8000000}"/>
    <cellStyle name="Normal_2001 GENEL MALIYET" xfId="287" xr:uid="{00000000-0005-0000-0000-0000F9000000}"/>
    <cellStyle name="Normale_Foglio1" xfId="525" xr:uid="{00000000-0005-0000-0000-0000FE000000}"/>
    <cellStyle name="Not 2" xfId="288" xr:uid="{00000000-0005-0000-0000-0000FA000000}"/>
    <cellStyle name="Not 3" xfId="289" xr:uid="{00000000-0005-0000-0000-0000FB000000}"/>
    <cellStyle name="ParaBirimi 2" xfId="290" xr:uid="{00000000-0005-0000-0000-0000FC000000}"/>
    <cellStyle name="ParaBirimi 2 2" xfId="291" xr:uid="{00000000-0005-0000-0000-0000FD000000}"/>
    <cellStyle name="Result" xfId="292" xr:uid="{00000000-0005-0000-0000-0000FE000000}"/>
    <cellStyle name="Result 1" xfId="293" xr:uid="{00000000-0005-0000-0000-0000FF000000}"/>
    <cellStyle name="Result 1 2" xfId="294" xr:uid="{00000000-0005-0000-0000-000000010000}"/>
    <cellStyle name="Result 2" xfId="295" xr:uid="{00000000-0005-0000-0000-000001010000}"/>
    <cellStyle name="Result 2 2" xfId="296" xr:uid="{00000000-0005-0000-0000-000002010000}"/>
    <cellStyle name="Result 3" xfId="297" xr:uid="{00000000-0005-0000-0000-000003010000}"/>
    <cellStyle name="Result 4" xfId="298" xr:uid="{00000000-0005-0000-0000-000004010000}"/>
    <cellStyle name="Result2" xfId="299" xr:uid="{00000000-0005-0000-0000-000005010000}"/>
    <cellStyle name="Result2 1" xfId="300" xr:uid="{00000000-0005-0000-0000-000006010000}"/>
    <cellStyle name="Result2 1 2" xfId="301" xr:uid="{00000000-0005-0000-0000-000007010000}"/>
    <cellStyle name="Result2 2" xfId="302" xr:uid="{00000000-0005-0000-0000-000008010000}"/>
    <cellStyle name="Result2 2 2" xfId="303" xr:uid="{00000000-0005-0000-0000-000009010000}"/>
    <cellStyle name="Result2 3" xfId="304" xr:uid="{00000000-0005-0000-0000-00000A010000}"/>
    <cellStyle name="Result2 4" xfId="305" xr:uid="{00000000-0005-0000-0000-00000B010000}"/>
    <cellStyle name="S1" xfId="450" xr:uid="{00000000-0005-0000-0000-00000D000000}"/>
    <cellStyle name="S4" xfId="456" xr:uid="{00000000-0005-0000-0000-00000E000000}"/>
    <cellStyle name="Stil 1" xfId="416" xr:uid="{00000000-0005-0000-0000-00000C010000}"/>
    <cellStyle name="Virgül [0]_B1" xfId="306" xr:uid="{00000000-0005-0000-0000-00000D010000}"/>
    <cellStyle name="Virgül 10" xfId="307" xr:uid="{00000000-0005-0000-0000-00000E010000}"/>
    <cellStyle name="Virgül 10 2" xfId="308" xr:uid="{00000000-0005-0000-0000-00000F010000}"/>
    <cellStyle name="Virgül 11" xfId="309" xr:uid="{00000000-0005-0000-0000-000010010000}"/>
    <cellStyle name="Virgül 11 2" xfId="310" xr:uid="{00000000-0005-0000-0000-000011010000}"/>
    <cellStyle name="Virgül 12" xfId="311" xr:uid="{00000000-0005-0000-0000-000012010000}"/>
    <cellStyle name="Virgül 13" xfId="312" xr:uid="{00000000-0005-0000-0000-000013010000}"/>
    <cellStyle name="Virgül 14" xfId="313" xr:uid="{00000000-0005-0000-0000-000014010000}"/>
    <cellStyle name="Virgül 15" xfId="314" xr:uid="{00000000-0005-0000-0000-000015010000}"/>
    <cellStyle name="Virgül 15 2" xfId="315" xr:uid="{00000000-0005-0000-0000-000016010000}"/>
    <cellStyle name="Virgül 16" xfId="316" xr:uid="{00000000-0005-0000-0000-000017010000}"/>
    <cellStyle name="Virgül 17" xfId="317" xr:uid="{00000000-0005-0000-0000-000018010000}"/>
    <cellStyle name="Virgül 18" xfId="318" xr:uid="{00000000-0005-0000-0000-000019010000}"/>
    <cellStyle name="Virgül 19" xfId="319" xr:uid="{00000000-0005-0000-0000-00001A010000}"/>
    <cellStyle name="Virgül 2" xfId="320" xr:uid="{00000000-0005-0000-0000-00001B010000}"/>
    <cellStyle name="Virgül 2 2" xfId="321" xr:uid="{00000000-0005-0000-0000-00001C010000}"/>
    <cellStyle name="Virgül 2 2 2" xfId="322" xr:uid="{00000000-0005-0000-0000-00001D010000}"/>
    <cellStyle name="Virgül 2 2 3" xfId="323" xr:uid="{00000000-0005-0000-0000-00001E010000}"/>
    <cellStyle name="Virgül 2 3" xfId="324" xr:uid="{00000000-0005-0000-0000-00001F010000}"/>
    <cellStyle name="Virgül 2 3 2" xfId="325" xr:uid="{00000000-0005-0000-0000-000020010000}"/>
    <cellStyle name="Virgül 2 3 2 2" xfId="326" xr:uid="{00000000-0005-0000-0000-000021010000}"/>
    <cellStyle name="Virgül 2 3 3" xfId="327" xr:uid="{00000000-0005-0000-0000-000022010000}"/>
    <cellStyle name="Virgül 2 4" xfId="328" xr:uid="{00000000-0005-0000-0000-000023010000}"/>
    <cellStyle name="Virgül 20" xfId="329" xr:uid="{00000000-0005-0000-0000-000024010000}"/>
    <cellStyle name="Virgül 21" xfId="330" xr:uid="{00000000-0005-0000-0000-000025010000}"/>
    <cellStyle name="Virgül 22" xfId="331" xr:uid="{00000000-0005-0000-0000-000026010000}"/>
    <cellStyle name="Virgül 23" xfId="332" xr:uid="{00000000-0005-0000-0000-000027010000}"/>
    <cellStyle name="Virgül 24" xfId="333" xr:uid="{00000000-0005-0000-0000-000028010000}"/>
    <cellStyle name="Virgül 25" xfId="334" xr:uid="{00000000-0005-0000-0000-000029010000}"/>
    <cellStyle name="Virgül 3" xfId="335" xr:uid="{00000000-0005-0000-0000-00002A010000}"/>
    <cellStyle name="Virgül 3 2" xfId="336" xr:uid="{00000000-0005-0000-0000-00002B010000}"/>
    <cellStyle name="Virgül 3 2 2" xfId="337" xr:uid="{00000000-0005-0000-0000-00002C010000}"/>
    <cellStyle name="Virgül 3 2 3" xfId="528" xr:uid="{00000000-0005-0000-0000-000032010000}"/>
    <cellStyle name="Virgül 3 3" xfId="338" xr:uid="{00000000-0005-0000-0000-00002D010000}"/>
    <cellStyle name="Virgül 3 4" xfId="417" xr:uid="{00000000-0005-0000-0000-00002E010000}"/>
    <cellStyle name="Virgül 4" xfId="339" xr:uid="{00000000-0005-0000-0000-00002F010000}"/>
    <cellStyle name="Virgül 4 2" xfId="340" xr:uid="{00000000-0005-0000-0000-000030010000}"/>
    <cellStyle name="Virgül 4 2 2" xfId="341" xr:uid="{00000000-0005-0000-0000-000031010000}"/>
    <cellStyle name="Virgül 4 2 3" xfId="530" xr:uid="{00000000-0005-0000-0000-000038010000}"/>
    <cellStyle name="Virgül 4 3" xfId="342" xr:uid="{00000000-0005-0000-0000-000032010000}"/>
    <cellStyle name="Virgül 4 4" xfId="343" xr:uid="{00000000-0005-0000-0000-000033010000}"/>
    <cellStyle name="Virgül 4 5" xfId="344" xr:uid="{00000000-0005-0000-0000-000034010000}"/>
    <cellStyle name="Virgül 4 6" xfId="529" xr:uid="{00000000-0005-0000-0000-00003C010000}"/>
    <cellStyle name="Virgül 5" xfId="345" xr:uid="{00000000-0005-0000-0000-000035010000}"/>
    <cellStyle name="Virgül 5 2" xfId="346" xr:uid="{00000000-0005-0000-0000-000036010000}"/>
    <cellStyle name="Virgül 5 2 2" xfId="347" xr:uid="{00000000-0005-0000-0000-000037010000}"/>
    <cellStyle name="Virgül 5 2 2 2" xfId="348" xr:uid="{00000000-0005-0000-0000-000038010000}"/>
    <cellStyle name="Virgül 5 3" xfId="349" xr:uid="{00000000-0005-0000-0000-000039010000}"/>
    <cellStyle name="Virgül 5 4" xfId="350" xr:uid="{00000000-0005-0000-0000-00003A010000}"/>
    <cellStyle name="Virgül 5 5" xfId="531" xr:uid="{00000000-0005-0000-0000-000043010000}"/>
    <cellStyle name="Virgül 6" xfId="351" xr:uid="{00000000-0005-0000-0000-00003B010000}"/>
    <cellStyle name="Virgül 6 2" xfId="352" xr:uid="{00000000-0005-0000-0000-00003C010000}"/>
    <cellStyle name="Virgül 6 3" xfId="353" xr:uid="{00000000-0005-0000-0000-00003D010000}"/>
    <cellStyle name="Virgül 6 4" xfId="532" xr:uid="{00000000-0005-0000-0000-000047010000}"/>
    <cellStyle name="Virgül 7" xfId="354" xr:uid="{00000000-0005-0000-0000-00003E010000}"/>
    <cellStyle name="Virgül 7 2" xfId="355" xr:uid="{00000000-0005-0000-0000-00003F010000}"/>
    <cellStyle name="Virgül 7 3" xfId="356" xr:uid="{00000000-0005-0000-0000-000040010000}"/>
    <cellStyle name="Virgül 8" xfId="357" xr:uid="{00000000-0005-0000-0000-000041010000}"/>
    <cellStyle name="Virgül 8 2" xfId="358" xr:uid="{00000000-0005-0000-0000-000042010000}"/>
    <cellStyle name="Virgül 8 3" xfId="359" xr:uid="{00000000-0005-0000-0000-000043010000}"/>
    <cellStyle name="Virgül 9" xfId="360" xr:uid="{00000000-0005-0000-0000-000044010000}"/>
    <cellStyle name="Virgül 9 2" xfId="361" xr:uid="{00000000-0005-0000-0000-000045010000}"/>
    <cellStyle name="Virgül 9 3" xfId="362" xr:uid="{00000000-0005-0000-0000-000046010000}"/>
    <cellStyle name="Yüzde 10" xfId="364" xr:uid="{00000000-0005-0000-0000-000047010000}"/>
    <cellStyle name="Yüzde 10 2" xfId="365" xr:uid="{00000000-0005-0000-0000-000048010000}"/>
    <cellStyle name="Yüzde 11" xfId="366" xr:uid="{00000000-0005-0000-0000-000049010000}"/>
    <cellStyle name="Yüzde 12" xfId="363" xr:uid="{00000000-0005-0000-0000-00004A010000}"/>
    <cellStyle name="Yüzde 2" xfId="367" xr:uid="{00000000-0005-0000-0000-00004B010000}"/>
    <cellStyle name="Yüzde 2 2" xfId="368" xr:uid="{00000000-0005-0000-0000-00004C010000}"/>
    <cellStyle name="Yüzde 2 2 2" xfId="369" xr:uid="{00000000-0005-0000-0000-00004D010000}"/>
    <cellStyle name="Yüzde 2 3" xfId="370" xr:uid="{00000000-0005-0000-0000-00004E010000}"/>
    <cellStyle name="Yüzde 2 4" xfId="371" xr:uid="{00000000-0005-0000-0000-00004F010000}"/>
    <cellStyle name="Yüzde 3" xfId="372" xr:uid="{00000000-0005-0000-0000-000050010000}"/>
    <cellStyle name="Yüzde 3 2" xfId="373" xr:uid="{00000000-0005-0000-0000-000051010000}"/>
    <cellStyle name="Yüzde 3 3" xfId="374" xr:uid="{00000000-0005-0000-0000-000052010000}"/>
    <cellStyle name="Yüzde 3 3 2" xfId="375" xr:uid="{00000000-0005-0000-0000-000053010000}"/>
    <cellStyle name="Yüzde 3 4" xfId="376" xr:uid="{00000000-0005-0000-0000-000054010000}"/>
    <cellStyle name="Yüzde 3 5" xfId="377" xr:uid="{00000000-0005-0000-0000-000055010000}"/>
    <cellStyle name="Yüzde 4" xfId="378" xr:uid="{00000000-0005-0000-0000-000056010000}"/>
    <cellStyle name="Yüzde 4 2" xfId="379" xr:uid="{00000000-0005-0000-0000-000057010000}"/>
    <cellStyle name="Yüzde 4 3" xfId="380" xr:uid="{00000000-0005-0000-0000-000058010000}"/>
    <cellStyle name="Yüzde 5" xfId="381" xr:uid="{00000000-0005-0000-0000-000059010000}"/>
    <cellStyle name="Yüzde 5 2" xfId="382" xr:uid="{00000000-0005-0000-0000-00005A010000}"/>
    <cellStyle name="Yüzde 5 2 2" xfId="383" xr:uid="{00000000-0005-0000-0000-00005B010000}"/>
    <cellStyle name="Yüzde 6" xfId="384" xr:uid="{00000000-0005-0000-0000-00005C010000}"/>
    <cellStyle name="Yüzde 6 2" xfId="385" xr:uid="{00000000-0005-0000-0000-00005D010000}"/>
    <cellStyle name="Yüzde 7" xfId="386" xr:uid="{00000000-0005-0000-0000-00005E010000}"/>
    <cellStyle name="Yüzde 7 2" xfId="387" xr:uid="{00000000-0005-0000-0000-00005F010000}"/>
    <cellStyle name="Yüzde 8" xfId="388" xr:uid="{00000000-0005-0000-0000-000060010000}"/>
    <cellStyle name="Yüzde 8 2" xfId="389" xr:uid="{00000000-0005-0000-0000-000061010000}"/>
    <cellStyle name="Yüzde 8 3" xfId="390" xr:uid="{00000000-0005-0000-0000-000062010000}"/>
    <cellStyle name="Yüzde 9" xfId="391" xr:uid="{00000000-0005-0000-0000-000063010000}"/>
    <cellStyle name="Акцент1 2" xfId="34" xr:uid="{00000000-0005-0000-0000-000064010000}"/>
    <cellStyle name="Акцент2 2" xfId="38" xr:uid="{00000000-0005-0000-0000-000065010000}"/>
    <cellStyle name="Акцент3 2" xfId="42" xr:uid="{00000000-0005-0000-0000-000066010000}"/>
    <cellStyle name="Акцент4 2" xfId="46" xr:uid="{00000000-0005-0000-0000-000067010000}"/>
    <cellStyle name="Акцент5 2" xfId="50" xr:uid="{00000000-0005-0000-0000-000068010000}"/>
    <cellStyle name="Акцент6 2" xfId="54" xr:uid="{00000000-0005-0000-0000-000069010000}"/>
    <cellStyle name="Ввод  2" xfId="26" xr:uid="{00000000-0005-0000-0000-00006A010000}"/>
    <cellStyle name="Вывод 2" xfId="27" xr:uid="{00000000-0005-0000-0000-00006B010000}"/>
    <cellStyle name="Вычисление 2" xfId="28" xr:uid="{00000000-0005-0000-0000-00006C010000}"/>
    <cellStyle name="Гиперссылка 2" xfId="461" xr:uid="{00000000-0005-0000-0000-000010000000}"/>
    <cellStyle name="Заголовок 1 2" xfId="19" xr:uid="{00000000-0005-0000-0000-00006D010000}"/>
    <cellStyle name="Заголовок 2 2" xfId="20" xr:uid="{00000000-0005-0000-0000-00006E010000}"/>
    <cellStyle name="Заголовок 3 2" xfId="21" xr:uid="{00000000-0005-0000-0000-00006F010000}"/>
    <cellStyle name="Заголовок 4 2" xfId="22" xr:uid="{00000000-0005-0000-0000-000070010000}"/>
    <cellStyle name="Итог 2" xfId="33" xr:uid="{00000000-0005-0000-0000-000071010000}"/>
    <cellStyle name="Контрольная ячейка 2" xfId="30" xr:uid="{00000000-0005-0000-0000-000072010000}"/>
    <cellStyle name="Нейтральный 2" xfId="25" xr:uid="{00000000-0005-0000-0000-000073010000}"/>
    <cellStyle name="Обычный" xfId="0" builtinId="0"/>
    <cellStyle name="Обычный 10" xfId="516" xr:uid="{00000000-0005-0000-0000-00007F010000}"/>
    <cellStyle name="Обычный 11" xfId="631" xr:uid="{B6998E6A-D42D-484D-A764-6318F5CCC77E}"/>
    <cellStyle name="Обычный 2" xfId="1" xr:uid="{00000000-0005-0000-0000-000075010000}"/>
    <cellStyle name="Обычный 2 2" xfId="2" xr:uid="{00000000-0005-0000-0000-000076010000}"/>
    <cellStyle name="Обычный 2 2 10" xfId="541" xr:uid="{00000000-0005-0000-0000-000081010000}"/>
    <cellStyle name="Обычный 2 2 11" xfId="609" xr:uid="{00000000-0005-0000-0000-000002000000}"/>
    <cellStyle name="Обычный 2 2 12" xfId="617" xr:uid="{00000000-0005-0000-0000-00000C000000}"/>
    <cellStyle name="Обычный 2 2 13" xfId="632" xr:uid="{6DFC236D-1A4D-449F-B6C8-2CB7A7E657D5}"/>
    <cellStyle name="Обычный 2 2 2" xfId="8" xr:uid="{00000000-0005-0000-0000-000077010000}"/>
    <cellStyle name="Обычный 2 2 2 10" xfId="620" xr:uid="{00000000-0005-0000-0000-00000D000000}"/>
    <cellStyle name="Обычный 2 2 2 11" xfId="639" xr:uid="{7DBD32D9-74A2-41F5-886E-0154432C10F3}"/>
    <cellStyle name="Обычный 2 2 2 2" xfId="13" xr:uid="{00000000-0005-0000-0000-000078010000}"/>
    <cellStyle name="Обычный 2 2 2 2 2" xfId="404" xr:uid="{00000000-0005-0000-0000-000079010000}"/>
    <cellStyle name="Обычный 2 2 2 2 2 2" xfId="442" xr:uid="{00000000-0005-0000-0000-00007A010000}"/>
    <cellStyle name="Обычный 2 2 2 2 2 2 2" xfId="509" xr:uid="{00000000-0005-0000-0000-000085010000}"/>
    <cellStyle name="Обычный 2 2 2 2 2 2 3" xfId="588" xr:uid="{00000000-0005-0000-0000-000085010000}"/>
    <cellStyle name="Обычный 2 2 2 2 2 3" xfId="482" xr:uid="{00000000-0005-0000-0000-000084010000}"/>
    <cellStyle name="Обычный 2 2 2 2 2 4" xfId="561" xr:uid="{00000000-0005-0000-0000-000084010000}"/>
    <cellStyle name="Обычный 2 2 2 2 3" xfId="429" xr:uid="{00000000-0005-0000-0000-00007B010000}"/>
    <cellStyle name="Обычный 2 2 2 2 3 2" xfId="496" xr:uid="{00000000-0005-0000-0000-000086010000}"/>
    <cellStyle name="Обычный 2 2 2 2 3 3" xfId="575" xr:uid="{00000000-0005-0000-0000-000086010000}"/>
    <cellStyle name="Обычный 2 2 2 2 4" xfId="533" xr:uid="{00000000-0005-0000-0000-000087010000}"/>
    <cellStyle name="Обычный 2 2 2 2 4 2" xfId="601" xr:uid="{00000000-0005-0000-0000-000087010000}"/>
    <cellStyle name="Обычный 2 2 2 2 5" xfId="469" xr:uid="{00000000-0005-0000-0000-000083010000}"/>
    <cellStyle name="Обычный 2 2 2 2 6" xfId="548" xr:uid="{00000000-0005-0000-0000-000083010000}"/>
    <cellStyle name="Обычный 2 2 2 2 7" xfId="616" xr:uid="{00000000-0005-0000-0000-000004000000}"/>
    <cellStyle name="Обычный 2 2 2 2 8" xfId="624" xr:uid="{00000000-0005-0000-0000-00000E000000}"/>
    <cellStyle name="Обычный 2 2 2 2 9" xfId="643" xr:uid="{47B86D10-ED06-470A-AADA-17FFB2B90AEA}"/>
    <cellStyle name="Обычный 2 2 2 3" xfId="412" xr:uid="{00000000-0005-0000-0000-00007C010000}"/>
    <cellStyle name="Обычный 2 2 2 3 2" xfId="448" xr:uid="{00000000-0005-0000-0000-00007D010000}"/>
    <cellStyle name="Обычный 2 2 2 3 2 2" xfId="514" xr:uid="{00000000-0005-0000-0000-000089010000}"/>
    <cellStyle name="Обычный 2 2 2 3 2 3" xfId="593" xr:uid="{00000000-0005-0000-0000-000089010000}"/>
    <cellStyle name="Обычный 2 2 2 3 3" xfId="527" xr:uid="{00000000-0005-0000-0000-00008A010000}"/>
    <cellStyle name="Обычный 2 2 2 3 3 2" xfId="600" xr:uid="{00000000-0005-0000-0000-00008A010000}"/>
    <cellStyle name="Обычный 2 2 2 3 4" xfId="487" xr:uid="{00000000-0005-0000-0000-000088010000}"/>
    <cellStyle name="Обычный 2 2 2 3 5" xfId="566" xr:uid="{00000000-0005-0000-0000-000088010000}"/>
    <cellStyle name="Обычный 2 2 2 3 6" xfId="630" xr:uid="{00000000-0005-0000-0000-00000F000000}"/>
    <cellStyle name="Обычный 2 2 2 3 7" xfId="649" xr:uid="{F3A7F63D-6D08-47ED-A17D-2D5CB67A99C6}"/>
    <cellStyle name="Обычный 2 2 2 4" xfId="400" xr:uid="{00000000-0005-0000-0000-00007E010000}"/>
    <cellStyle name="Обычный 2 2 2 4 2" xfId="438" xr:uid="{00000000-0005-0000-0000-00007F010000}"/>
    <cellStyle name="Обычный 2 2 2 4 2 2" xfId="505" xr:uid="{00000000-0005-0000-0000-00008C010000}"/>
    <cellStyle name="Обычный 2 2 2 4 2 3" xfId="584" xr:uid="{00000000-0005-0000-0000-00008C010000}"/>
    <cellStyle name="Обычный 2 2 2 4 3" xfId="478" xr:uid="{00000000-0005-0000-0000-00008B010000}"/>
    <cellStyle name="Обычный 2 2 2 4 4" xfId="557" xr:uid="{00000000-0005-0000-0000-00008B010000}"/>
    <cellStyle name="Обычный 2 2 2 5" xfId="425" xr:uid="{00000000-0005-0000-0000-000080010000}"/>
    <cellStyle name="Обычный 2 2 2 5 2" xfId="492" xr:uid="{00000000-0005-0000-0000-00008D010000}"/>
    <cellStyle name="Обычный 2 2 2 5 3" xfId="571" xr:uid="{00000000-0005-0000-0000-00008D010000}"/>
    <cellStyle name="Обычный 2 2 2 6" xfId="537" xr:uid="{00000000-0005-0000-0000-00008E010000}"/>
    <cellStyle name="Обычный 2 2 2 6 2" xfId="605" xr:uid="{00000000-0005-0000-0000-00008E010000}"/>
    <cellStyle name="Обычный 2 2 2 7" xfId="465" xr:uid="{00000000-0005-0000-0000-000082010000}"/>
    <cellStyle name="Обычный 2 2 2 8" xfId="544" xr:uid="{00000000-0005-0000-0000-000082010000}"/>
    <cellStyle name="Обычный 2 2 2 9" xfId="612" xr:uid="{00000000-0005-0000-0000-000003000000}"/>
    <cellStyle name="Обычный 2 2 3" xfId="10" xr:uid="{00000000-0005-0000-0000-000081010000}"/>
    <cellStyle name="Обычный 2 2 3 2" xfId="401" xr:uid="{00000000-0005-0000-0000-000082010000}"/>
    <cellStyle name="Обычный 2 2 3 2 2" xfId="439" xr:uid="{00000000-0005-0000-0000-000083010000}"/>
    <cellStyle name="Обычный 2 2 3 2 2 2" xfId="506" xr:uid="{00000000-0005-0000-0000-000091010000}"/>
    <cellStyle name="Обычный 2 2 3 2 2 3" xfId="585" xr:uid="{00000000-0005-0000-0000-000091010000}"/>
    <cellStyle name="Обычный 2 2 3 2 3" xfId="479" xr:uid="{00000000-0005-0000-0000-000090010000}"/>
    <cellStyle name="Обычный 2 2 3 2 4" xfId="558" xr:uid="{00000000-0005-0000-0000-000090010000}"/>
    <cellStyle name="Обычный 2 2 3 3" xfId="426" xr:uid="{00000000-0005-0000-0000-000084010000}"/>
    <cellStyle name="Обычный 2 2 3 3 2" xfId="493" xr:uid="{00000000-0005-0000-0000-000092010000}"/>
    <cellStyle name="Обычный 2 2 3 3 3" xfId="572" xr:uid="{00000000-0005-0000-0000-000092010000}"/>
    <cellStyle name="Обычный 2 2 3 4" xfId="536" xr:uid="{00000000-0005-0000-0000-000093010000}"/>
    <cellStyle name="Обычный 2 2 3 4 2" xfId="604" xr:uid="{00000000-0005-0000-0000-000093010000}"/>
    <cellStyle name="Обычный 2 2 3 5" xfId="466" xr:uid="{00000000-0005-0000-0000-00008F010000}"/>
    <cellStyle name="Обычный 2 2 3 6" xfId="545" xr:uid="{00000000-0005-0000-0000-00008F010000}"/>
    <cellStyle name="Обычный 2 2 3 7" xfId="613" xr:uid="{00000000-0005-0000-0000-000005000000}"/>
    <cellStyle name="Обычный 2 2 3 8" xfId="621" xr:uid="{00000000-0005-0000-0000-000010000000}"/>
    <cellStyle name="Обычный 2 2 3 9" xfId="640" xr:uid="{427E3708-4AC0-463B-AA98-105B6188C17A}"/>
    <cellStyle name="Обычный 2 2 4" xfId="15" xr:uid="{00000000-0005-0000-0000-000085010000}"/>
    <cellStyle name="Обычный 2 2 4 2" xfId="406" xr:uid="{00000000-0005-0000-0000-000086010000}"/>
    <cellStyle name="Обычный 2 2 4 2 2" xfId="444" xr:uid="{00000000-0005-0000-0000-000087010000}"/>
    <cellStyle name="Обычный 2 2 4 2 2 2" xfId="511" xr:uid="{00000000-0005-0000-0000-000096010000}"/>
    <cellStyle name="Обычный 2 2 4 2 2 3" xfId="590" xr:uid="{00000000-0005-0000-0000-000096010000}"/>
    <cellStyle name="Обычный 2 2 4 2 3" xfId="484" xr:uid="{00000000-0005-0000-0000-000095010000}"/>
    <cellStyle name="Обычный 2 2 4 2 4" xfId="563" xr:uid="{00000000-0005-0000-0000-000095010000}"/>
    <cellStyle name="Обычный 2 2 4 3" xfId="431" xr:uid="{00000000-0005-0000-0000-000088010000}"/>
    <cellStyle name="Обычный 2 2 4 3 2" xfId="498" xr:uid="{00000000-0005-0000-0000-000097010000}"/>
    <cellStyle name="Обычный 2 2 4 3 3" xfId="577" xr:uid="{00000000-0005-0000-0000-000097010000}"/>
    <cellStyle name="Обычный 2 2 4 4" xfId="518" xr:uid="{00000000-0005-0000-0000-000098010000}"/>
    <cellStyle name="Обычный 2 2 4 4 2" xfId="596" xr:uid="{00000000-0005-0000-0000-000098010000}"/>
    <cellStyle name="Обычный 2 2 4 5" xfId="471" xr:uid="{00000000-0005-0000-0000-000094010000}"/>
    <cellStyle name="Обычный 2 2 4 6" xfId="550" xr:uid="{00000000-0005-0000-0000-000094010000}"/>
    <cellStyle name="Обычный 2 2 4 7" xfId="626" xr:uid="{00000000-0005-0000-0000-000011000000}"/>
    <cellStyle name="Обычный 2 2 4 8" xfId="645" xr:uid="{DF8C9B1D-8D1E-4D88-823B-DFF38A7F90FF}"/>
    <cellStyle name="Обычный 2 2 5" xfId="18" xr:uid="{00000000-0005-0000-0000-000089010000}"/>
    <cellStyle name="Обычный 2 2 5 2" xfId="410" xr:uid="{00000000-0005-0000-0000-00008A010000}"/>
    <cellStyle name="Обычный 2 2 5 2 2" xfId="446" xr:uid="{00000000-0005-0000-0000-00008B010000}"/>
    <cellStyle name="Обычный 2 2 5 2 2 2" xfId="513" xr:uid="{00000000-0005-0000-0000-00009B010000}"/>
    <cellStyle name="Обычный 2 2 5 2 2 3" xfId="592" xr:uid="{00000000-0005-0000-0000-00009B010000}"/>
    <cellStyle name="Обычный 2 2 5 2 3" xfId="486" xr:uid="{00000000-0005-0000-0000-00009A010000}"/>
    <cellStyle name="Обычный 2 2 5 2 4" xfId="565" xr:uid="{00000000-0005-0000-0000-00009A010000}"/>
    <cellStyle name="Обычный 2 2 5 3" xfId="433" xr:uid="{00000000-0005-0000-0000-00008C010000}"/>
    <cellStyle name="Обычный 2 2 5 3 2" xfId="500" xr:uid="{00000000-0005-0000-0000-00009C010000}"/>
    <cellStyle name="Обычный 2 2 5 3 3" xfId="579" xr:uid="{00000000-0005-0000-0000-00009C010000}"/>
    <cellStyle name="Обычный 2 2 5 4" xfId="522" xr:uid="{00000000-0005-0000-0000-00009D010000}"/>
    <cellStyle name="Обычный 2 2 5 4 2" xfId="597" xr:uid="{00000000-0005-0000-0000-00009D010000}"/>
    <cellStyle name="Обычный 2 2 5 5" xfId="473" xr:uid="{00000000-0005-0000-0000-000099010000}"/>
    <cellStyle name="Обычный 2 2 5 6" xfId="552" xr:uid="{00000000-0005-0000-0000-000099010000}"/>
    <cellStyle name="Обычный 2 2 5 7" xfId="627" xr:uid="{00000000-0005-0000-0000-000012000000}"/>
    <cellStyle name="Обычный 2 2 5 8" xfId="646" xr:uid="{39608ABF-50D0-4FAD-8D9D-3B2C4B3897B2}"/>
    <cellStyle name="Обычный 2 2 6" xfId="394" xr:uid="{00000000-0005-0000-0000-00008D010000}"/>
    <cellStyle name="Обычный 2 2 6 2" xfId="435" xr:uid="{00000000-0005-0000-0000-00008E010000}"/>
    <cellStyle name="Обычный 2 2 6 2 2" xfId="502" xr:uid="{00000000-0005-0000-0000-00009F010000}"/>
    <cellStyle name="Обычный 2 2 6 2 3" xfId="581" xr:uid="{00000000-0005-0000-0000-00009F010000}"/>
    <cellStyle name="Обычный 2 2 6 3" xfId="475" xr:uid="{00000000-0005-0000-0000-00009E010000}"/>
    <cellStyle name="Обычный 2 2 6 4" xfId="554" xr:uid="{00000000-0005-0000-0000-00009E010000}"/>
    <cellStyle name="Обычный 2 2 6 5" xfId="634" xr:uid="{FFCC2E12-400B-4EFA-80BA-2EF52ADA993A}"/>
    <cellStyle name="Обычный 2 2 7" xfId="422" xr:uid="{00000000-0005-0000-0000-00008F010000}"/>
    <cellStyle name="Обычный 2 2 7 2" xfId="489" xr:uid="{00000000-0005-0000-0000-0000A0010000}"/>
    <cellStyle name="Обычный 2 2 7 3" xfId="568" xr:uid="{00000000-0005-0000-0000-0000A0010000}"/>
    <cellStyle name="Обычный 2 2 8" xfId="540" xr:uid="{00000000-0005-0000-0000-0000A1010000}"/>
    <cellStyle name="Обычный 2 2 8 2" xfId="608" xr:uid="{00000000-0005-0000-0000-0000A1010000}"/>
    <cellStyle name="Обычный 2 2 9" xfId="462" xr:uid="{00000000-0005-0000-0000-000081010000}"/>
    <cellStyle name="Обычный 2 3" xfId="6" xr:uid="{00000000-0005-0000-0000-000090010000}"/>
    <cellStyle name="Обычный 2 3 10" xfId="618" xr:uid="{00000000-0005-0000-0000-000013000000}"/>
    <cellStyle name="Обычный 2 3 11" xfId="637" xr:uid="{971D7B2D-0992-423E-B0E8-AA53853A79AE}"/>
    <cellStyle name="Обычный 2 3 2" xfId="11" xr:uid="{00000000-0005-0000-0000-000091010000}"/>
    <cellStyle name="Обычный 2 3 2 2" xfId="402" xr:uid="{00000000-0005-0000-0000-000092010000}"/>
    <cellStyle name="Обычный 2 3 2 2 2" xfId="440" xr:uid="{00000000-0005-0000-0000-000093010000}"/>
    <cellStyle name="Обычный 2 3 2 2 2 2" xfId="507" xr:uid="{00000000-0005-0000-0000-0000A5010000}"/>
    <cellStyle name="Обычный 2 3 2 2 2 3" xfId="586" xr:uid="{00000000-0005-0000-0000-0000A5010000}"/>
    <cellStyle name="Обычный 2 3 2 2 3" xfId="480" xr:uid="{00000000-0005-0000-0000-0000A4010000}"/>
    <cellStyle name="Обычный 2 3 2 2 4" xfId="559" xr:uid="{00000000-0005-0000-0000-0000A4010000}"/>
    <cellStyle name="Обычный 2 3 2 3" xfId="427" xr:uid="{00000000-0005-0000-0000-000094010000}"/>
    <cellStyle name="Обычный 2 3 2 3 2" xfId="494" xr:uid="{00000000-0005-0000-0000-0000A6010000}"/>
    <cellStyle name="Обычный 2 3 2 3 3" xfId="573" xr:uid="{00000000-0005-0000-0000-0000A6010000}"/>
    <cellStyle name="Обычный 2 3 2 4" xfId="535" xr:uid="{00000000-0005-0000-0000-0000A7010000}"/>
    <cellStyle name="Обычный 2 3 2 4 2" xfId="603" xr:uid="{00000000-0005-0000-0000-0000A7010000}"/>
    <cellStyle name="Обычный 2 3 2 5" xfId="467" xr:uid="{00000000-0005-0000-0000-0000A3010000}"/>
    <cellStyle name="Обычный 2 3 2 6" xfId="546" xr:uid="{00000000-0005-0000-0000-0000A3010000}"/>
    <cellStyle name="Обычный 2 3 2 7" xfId="614" xr:uid="{00000000-0005-0000-0000-000007000000}"/>
    <cellStyle name="Обычный 2 3 2 8" xfId="622" xr:uid="{00000000-0005-0000-0000-000014000000}"/>
    <cellStyle name="Обычный 2 3 2 9" xfId="641" xr:uid="{C67F5646-E00A-4A5C-9E66-7FD516EDBBC2}"/>
    <cellStyle name="Обычный 2 3 3" xfId="398" xr:uid="{00000000-0005-0000-0000-000095010000}"/>
    <cellStyle name="Обычный 2 3 3 2" xfId="436" xr:uid="{00000000-0005-0000-0000-000096010000}"/>
    <cellStyle name="Обычный 2 3 3 2 2" xfId="503" xr:uid="{00000000-0005-0000-0000-0000A9010000}"/>
    <cellStyle name="Обычный 2 3 3 2 3" xfId="582" xr:uid="{00000000-0005-0000-0000-0000A9010000}"/>
    <cellStyle name="Обычный 2 3 3 3" xfId="524" xr:uid="{00000000-0005-0000-0000-0000AA010000}"/>
    <cellStyle name="Обычный 2 3 3 3 2" xfId="598" xr:uid="{00000000-0005-0000-0000-0000AA010000}"/>
    <cellStyle name="Обычный 2 3 3 4" xfId="476" xr:uid="{00000000-0005-0000-0000-0000A8010000}"/>
    <cellStyle name="Обычный 2 3 3 5" xfId="555" xr:uid="{00000000-0005-0000-0000-0000A8010000}"/>
    <cellStyle name="Обычный 2 3 3 6" xfId="628" xr:uid="{00000000-0005-0000-0000-000015000000}"/>
    <cellStyle name="Обычный 2 3 3 7" xfId="647" xr:uid="{ABC41FF0-E3FA-41E8-A26F-FBFA7ED604EE}"/>
    <cellStyle name="Обычный 2 3 4" xfId="397" xr:uid="{00000000-0005-0000-0000-000097010000}"/>
    <cellStyle name="Обычный 2 3 5" xfId="423" xr:uid="{00000000-0005-0000-0000-000098010000}"/>
    <cellStyle name="Обычный 2 3 5 2" xfId="490" xr:uid="{00000000-0005-0000-0000-0000AC010000}"/>
    <cellStyle name="Обычный 2 3 5 3" xfId="569" xr:uid="{00000000-0005-0000-0000-0000AC010000}"/>
    <cellStyle name="Обычный 2 3 6" xfId="539" xr:uid="{00000000-0005-0000-0000-0000AD010000}"/>
    <cellStyle name="Обычный 2 3 6 2" xfId="607" xr:uid="{00000000-0005-0000-0000-0000AD010000}"/>
    <cellStyle name="Обычный 2 3 7" xfId="463" xr:uid="{00000000-0005-0000-0000-0000A2010000}"/>
    <cellStyle name="Обычный 2 3 8" xfId="542" xr:uid="{00000000-0005-0000-0000-0000A2010000}"/>
    <cellStyle name="Обычный 2 3 9" xfId="610" xr:uid="{00000000-0005-0000-0000-000006000000}"/>
    <cellStyle name="Обычный 2 4" xfId="7" xr:uid="{00000000-0005-0000-0000-000099010000}"/>
    <cellStyle name="Обычный 2 4 2" xfId="399" xr:uid="{00000000-0005-0000-0000-00009A010000}"/>
    <cellStyle name="Обычный 2 4 2 2" xfId="437" xr:uid="{00000000-0005-0000-0000-00009B010000}"/>
    <cellStyle name="Обычный 2 4 2 2 2" xfId="504" xr:uid="{00000000-0005-0000-0000-0000B0010000}"/>
    <cellStyle name="Обычный 2 4 2 2 3" xfId="583" xr:uid="{00000000-0005-0000-0000-0000B0010000}"/>
    <cellStyle name="Обычный 2 4 2 3" xfId="477" xr:uid="{00000000-0005-0000-0000-0000AF010000}"/>
    <cellStyle name="Обычный 2 4 2 4" xfId="556" xr:uid="{00000000-0005-0000-0000-0000AF010000}"/>
    <cellStyle name="Обычный 2 4 3" xfId="424" xr:uid="{00000000-0005-0000-0000-00009C010000}"/>
    <cellStyle name="Обычный 2 4 3 2" xfId="491" xr:uid="{00000000-0005-0000-0000-0000B1010000}"/>
    <cellStyle name="Обычный 2 4 3 3" xfId="570" xr:uid="{00000000-0005-0000-0000-0000B1010000}"/>
    <cellStyle name="Обычный 2 4 4" xfId="538" xr:uid="{00000000-0005-0000-0000-0000B2010000}"/>
    <cellStyle name="Обычный 2 4 4 2" xfId="606" xr:uid="{00000000-0005-0000-0000-0000B2010000}"/>
    <cellStyle name="Обычный 2 4 5" xfId="464" xr:uid="{00000000-0005-0000-0000-0000AE010000}"/>
    <cellStyle name="Обычный 2 4 6" xfId="543" xr:uid="{00000000-0005-0000-0000-0000AE010000}"/>
    <cellStyle name="Обычный 2 4 7" xfId="611" xr:uid="{00000000-0005-0000-0000-000008000000}"/>
    <cellStyle name="Обычный 2 4 8" xfId="619" xr:uid="{00000000-0005-0000-0000-000016000000}"/>
    <cellStyle name="Обычный 2 4 9" xfId="638" xr:uid="{425F291E-31E9-4013-A9B2-95F59DD937CB}"/>
    <cellStyle name="Обычный 2 5" xfId="17" xr:uid="{00000000-0005-0000-0000-00009D010000}"/>
    <cellStyle name="Обычный 2 5 2" xfId="409" xr:uid="{00000000-0005-0000-0000-00009E010000}"/>
    <cellStyle name="Обычный 2 5 2 2" xfId="445" xr:uid="{00000000-0005-0000-0000-00009F010000}"/>
    <cellStyle name="Обычный 2 5 2 2 2" xfId="512" xr:uid="{00000000-0005-0000-0000-0000B5010000}"/>
    <cellStyle name="Обычный 2 5 2 2 3" xfId="591" xr:uid="{00000000-0005-0000-0000-0000B5010000}"/>
    <cellStyle name="Обычный 2 5 2 3" xfId="485" xr:uid="{00000000-0005-0000-0000-0000B4010000}"/>
    <cellStyle name="Обычный 2 5 2 4" xfId="564" xr:uid="{00000000-0005-0000-0000-0000B4010000}"/>
    <cellStyle name="Обычный 2 5 3" xfId="432" xr:uid="{00000000-0005-0000-0000-0000A0010000}"/>
    <cellStyle name="Обычный 2 5 3 2" xfId="499" xr:uid="{00000000-0005-0000-0000-0000B6010000}"/>
    <cellStyle name="Обычный 2 5 3 3" xfId="578" xr:uid="{00000000-0005-0000-0000-0000B6010000}"/>
    <cellStyle name="Обычный 2 5 4" xfId="472" xr:uid="{00000000-0005-0000-0000-0000B3010000}"/>
    <cellStyle name="Обычный 2 5 5" xfId="551" xr:uid="{00000000-0005-0000-0000-0000B3010000}"/>
    <cellStyle name="Обычный 2 6" xfId="421" xr:uid="{00000000-0005-0000-0000-0000A1010000}"/>
    <cellStyle name="Обычный 2 6 2" xfId="449" xr:uid="{00000000-0005-0000-0000-0000A2010000}"/>
    <cellStyle name="Обычный 2 6 2 2" xfId="515" xr:uid="{00000000-0005-0000-0000-0000B8010000}"/>
    <cellStyle name="Обычный 2 6 2 3" xfId="594" xr:uid="{00000000-0005-0000-0000-0000B8010000}"/>
    <cellStyle name="Обычный 2 6 3" xfId="488" xr:uid="{00000000-0005-0000-0000-0000B7010000}"/>
    <cellStyle name="Обычный 2 6 4" xfId="567" xr:uid="{00000000-0005-0000-0000-0000B7010000}"/>
    <cellStyle name="Обычный 3" xfId="4" xr:uid="{00000000-0005-0000-0000-0000A3010000}"/>
    <cellStyle name="Обычный 3 2" xfId="5" xr:uid="{00000000-0005-0000-0000-0000A4010000}"/>
    <cellStyle name="Обычный 3 2 2" xfId="9" xr:uid="{00000000-0005-0000-0000-0000A5010000}"/>
    <cellStyle name="Обычный 3 3" xfId="459" xr:uid="{00000000-0005-0000-0000-000012000000}"/>
    <cellStyle name="Обычный 3 3 2" xfId="636" xr:uid="{44B1E41C-3488-4928-AC24-B5223D0DBFE3}"/>
    <cellStyle name="Обычный 4" xfId="3" xr:uid="{00000000-0005-0000-0000-0000A6010000}"/>
    <cellStyle name="Обычный 4 2" xfId="635" xr:uid="{A4ED3FCD-BD71-4F35-A3F1-759930082778}"/>
    <cellStyle name="Обычный 4 3" xfId="633" xr:uid="{D52F6DCF-11FC-4B39-94AB-E1D54EA2F0E7}"/>
    <cellStyle name="Обычный 5" xfId="12" xr:uid="{00000000-0005-0000-0000-0000A7010000}"/>
    <cellStyle name="Обычный 5 10" xfId="623" xr:uid="{00000000-0005-0000-0000-00001B000000}"/>
    <cellStyle name="Обычный 5 11" xfId="642" xr:uid="{3604AE00-5380-408E-8E9B-C9B005687C40}"/>
    <cellStyle name="Обычный 5 2" xfId="16" xr:uid="{00000000-0005-0000-0000-0000A8010000}"/>
    <cellStyle name="Обычный 5 2 2" xfId="408" xr:uid="{00000000-0005-0000-0000-0000A9010000}"/>
    <cellStyle name="Обычный 5 2 3" xfId="407" xr:uid="{00000000-0005-0000-0000-0000AA010000}"/>
    <cellStyle name="Обычный 5 3" xfId="403" xr:uid="{00000000-0005-0000-0000-0000AB010000}"/>
    <cellStyle name="Обычный 5 3 2" xfId="441" xr:uid="{00000000-0005-0000-0000-0000AC010000}"/>
    <cellStyle name="Обычный 5 3 2 2" xfId="508" xr:uid="{00000000-0005-0000-0000-0000C2010000}"/>
    <cellStyle name="Обычный 5 3 2 3" xfId="587" xr:uid="{00000000-0005-0000-0000-0000C2010000}"/>
    <cellStyle name="Обычный 5 3 3" xfId="526" xr:uid="{00000000-0005-0000-0000-0000C3010000}"/>
    <cellStyle name="Обычный 5 3 3 2" xfId="599" xr:uid="{00000000-0005-0000-0000-0000C3010000}"/>
    <cellStyle name="Обычный 5 3 4" xfId="481" xr:uid="{00000000-0005-0000-0000-0000C1010000}"/>
    <cellStyle name="Обычный 5 3 5" xfId="560" xr:uid="{00000000-0005-0000-0000-0000C1010000}"/>
    <cellStyle name="Обычный 5 3 6" xfId="629" xr:uid="{00000000-0005-0000-0000-00001D000000}"/>
    <cellStyle name="Обычный 5 3 7" xfId="648" xr:uid="{4F5686D0-CCCC-48A1-A4FA-1030A7B086C8}"/>
    <cellStyle name="Обычный 5 4" xfId="395" xr:uid="{00000000-0005-0000-0000-0000AD010000}"/>
    <cellStyle name="Обычный 5 5" xfId="428" xr:uid="{00000000-0005-0000-0000-0000AE010000}"/>
    <cellStyle name="Обычный 5 5 2" xfId="495" xr:uid="{00000000-0005-0000-0000-0000C5010000}"/>
    <cellStyle name="Обычный 5 5 3" xfId="574" xr:uid="{00000000-0005-0000-0000-0000C5010000}"/>
    <cellStyle name="Обычный 5 6" xfId="534" xr:uid="{00000000-0005-0000-0000-0000C6010000}"/>
    <cellStyle name="Обычный 5 6 2" xfId="602" xr:uid="{00000000-0005-0000-0000-0000C6010000}"/>
    <cellStyle name="Обычный 5 7" xfId="468" xr:uid="{00000000-0005-0000-0000-0000BD010000}"/>
    <cellStyle name="Обычный 5 8" xfId="547" xr:uid="{00000000-0005-0000-0000-0000BD010000}"/>
    <cellStyle name="Обычный 5 9" xfId="615" xr:uid="{00000000-0005-0000-0000-00000D000000}"/>
    <cellStyle name="Обычный 6" xfId="14" xr:uid="{00000000-0005-0000-0000-0000AF010000}"/>
    <cellStyle name="Обычный 6 2" xfId="405" xr:uid="{00000000-0005-0000-0000-0000B0010000}"/>
    <cellStyle name="Обычный 6 2 2" xfId="443" xr:uid="{00000000-0005-0000-0000-0000B1010000}"/>
    <cellStyle name="Обычный 6 2 2 2" xfId="510" xr:uid="{00000000-0005-0000-0000-0000C9010000}"/>
    <cellStyle name="Обычный 6 2 2 3" xfId="589" xr:uid="{00000000-0005-0000-0000-0000C9010000}"/>
    <cellStyle name="Обычный 6 2 3" xfId="483" xr:uid="{00000000-0005-0000-0000-0000C8010000}"/>
    <cellStyle name="Обычный 6 2 4" xfId="562" xr:uid="{00000000-0005-0000-0000-0000C8010000}"/>
    <cellStyle name="Обычный 6 3" xfId="430" xr:uid="{00000000-0005-0000-0000-0000B2010000}"/>
    <cellStyle name="Обычный 6 3 2" xfId="497" xr:uid="{00000000-0005-0000-0000-0000CA010000}"/>
    <cellStyle name="Обычный 6 3 3" xfId="576" xr:uid="{00000000-0005-0000-0000-0000CA010000}"/>
    <cellStyle name="Обычный 6 4" xfId="517" xr:uid="{00000000-0005-0000-0000-0000CB010000}"/>
    <cellStyle name="Обычный 6 4 2" xfId="595" xr:uid="{00000000-0005-0000-0000-0000CB010000}"/>
    <cellStyle name="Обычный 6 5" xfId="470" xr:uid="{00000000-0005-0000-0000-0000C7010000}"/>
    <cellStyle name="Обычный 6 6" xfId="549" xr:uid="{00000000-0005-0000-0000-0000C7010000}"/>
    <cellStyle name="Обычный 6 7" xfId="625" xr:uid="{00000000-0005-0000-0000-00001E000000}"/>
    <cellStyle name="Обычный 6 8" xfId="644" xr:uid="{A1F2B2F3-F761-4E25-8C9C-BFAD7598B588}"/>
    <cellStyle name="Обычный 7" xfId="396" xr:uid="{00000000-0005-0000-0000-0000B3010000}"/>
    <cellStyle name="Обычный 7 2" xfId="413" xr:uid="{00000000-0005-0000-0000-0000B4010000}"/>
    <cellStyle name="Обычный 8" xfId="411" xr:uid="{00000000-0005-0000-0000-0000B5010000}"/>
    <cellStyle name="Обычный 8 2" xfId="447" xr:uid="{00000000-0005-0000-0000-0000B6010000}"/>
    <cellStyle name="Обычный 9" xfId="393" xr:uid="{00000000-0005-0000-0000-0000B7010000}"/>
    <cellStyle name="Обычный 9 2" xfId="434" xr:uid="{00000000-0005-0000-0000-0000B8010000}"/>
    <cellStyle name="Обычный 9 2 2" xfId="501" xr:uid="{00000000-0005-0000-0000-0000D1010000}"/>
    <cellStyle name="Обычный 9 2 3" xfId="580" xr:uid="{00000000-0005-0000-0000-0000D1010000}"/>
    <cellStyle name="Обычный 9 3" xfId="474" xr:uid="{00000000-0005-0000-0000-0000D0010000}"/>
    <cellStyle name="Обычный 9 4" xfId="553" xr:uid="{00000000-0005-0000-0000-0000D0010000}"/>
    <cellStyle name="Плохой 2" xfId="24" xr:uid="{00000000-0005-0000-0000-0000B9010000}"/>
    <cellStyle name="Пояснение 2" xfId="32" xr:uid="{00000000-0005-0000-0000-0000BA010000}"/>
    <cellStyle name="Процентный 2" xfId="392" xr:uid="{00000000-0005-0000-0000-0000BB010000}"/>
    <cellStyle name="Процентный 2 2" xfId="418" xr:uid="{00000000-0005-0000-0000-0000BC010000}"/>
    <cellStyle name="Связанная ячейка 2" xfId="29" xr:uid="{00000000-0005-0000-0000-0000BD010000}"/>
    <cellStyle name="Текст предупреждения 2" xfId="31" xr:uid="{00000000-0005-0000-0000-0000BE010000}"/>
    <cellStyle name="Финансовый [0] 2" xfId="420" xr:uid="{00000000-0005-0000-0000-0000BF010000}"/>
    <cellStyle name="Финансовый 2" xfId="419" xr:uid="{00000000-0005-0000-0000-0000C0010000}"/>
    <cellStyle name="Хороший 2" xfId="23" xr:uid="{00000000-0005-0000-0000-0000C1010000}"/>
  </cellStyles>
  <dxfs count="35">
    <dxf>
      <border diagonalUp="0" diagonalDown="0" outline="0">
        <left/>
        <right/>
        <top/>
        <bottom/>
      </border>
    </dxf>
    <dxf>
      <font>
        <b/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numFmt numFmtId="165" formatCode="#,##0_ ;[Red]\-#,##0\ 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3" formatCode="#,##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numFmt numFmtId="175" formatCode="0.00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indexed="8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4"/>
        <name val="Times New Roman"/>
        <family val="1"/>
        <charset val="204"/>
        <scheme val="none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b/>
        <family val="2"/>
        <charset val="204"/>
      </font>
    </dxf>
    <dxf>
      <font>
        <b/>
        <family val="2"/>
        <charset val="204"/>
      </font>
    </dxf>
    <dxf>
      <font>
        <b/>
        <family val="2"/>
        <charset val="204"/>
      </font>
    </dxf>
    <dxf>
      <font>
        <b/>
        <family val="2"/>
        <charset val="20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1F2"/>
          <bgColor rgb="FFD9E1F2"/>
        </patternFill>
      </fill>
    </dxf>
    <dxf>
      <fill>
        <patternFill patternType="solid">
          <fgColor rgb="FFD9E1F2"/>
          <bgColor rgb="FFD9E1F2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472C4"/>
        </top>
      </border>
    </dxf>
    <dxf>
      <font>
        <b/>
        <color rgb="FFFFFFFF"/>
      </font>
      <fill>
        <patternFill patternType="solid">
          <fgColor rgb="FF4472C4"/>
          <bgColor rgb="FF4472C4"/>
        </patternFill>
      </fill>
    </dxf>
    <dxf>
      <font>
        <color rgb="FF000000"/>
      </font>
      <border>
        <left style="thin">
          <color rgb="FF8EA9DB"/>
        </left>
        <right style="thin">
          <color rgb="FF8EA9DB"/>
        </right>
        <top style="thin">
          <color rgb="FF8EA9DB"/>
        </top>
        <bottom style="thin">
          <color rgb="FF8EA9DB"/>
        </bottom>
        <horizontal style="thin">
          <color rgb="FF8EA9DB"/>
        </horizontal>
      </border>
    </dxf>
  </dxfs>
  <tableStyles count="4" defaultTableStyle="TableStyleMedium2" defaultPivotStyle="PivotStyleLight16">
    <tableStyle name="TableStyleMedium2 2" pivot="0" count="7" xr9:uid="{34F004DD-8644-451B-A476-413CD552B128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Стиль таблицы 1" pivot="0" count="0" xr9:uid="{93102A1A-A3E4-4D91-86E6-C139D78392CF}"/>
    <tableStyle name="Стиль таблицы 2" pivot="0" count="0" xr9:uid="{69ED09DD-4BDA-4B76-9246-7F8E8245C09A}"/>
    <tableStyle name="Стиль таблицы 3" pivot="0" count="0" xr9:uid="{C1EF90AC-9E1C-4170-AE14-7E28A25B0893}"/>
  </tableStyles>
  <colors>
    <mruColors>
      <color rgb="FFFFFFFF"/>
      <color rgb="FF9966FF"/>
      <color rgb="FF6600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Никулин" refreshedDate="46279.469047800929" createdVersion="6" refreshedVersion="6" minRefreshableVersion="3" recordCount="130" xr:uid="{9C2BE971-1A5F-40D6-97CE-549FF4C386EC}">
  <cacheSource type="worksheet">
    <worksheetSource name="Таблица13"/>
  </cacheSource>
  <cacheFields count="4">
    <cacheField name="Модель" numFmtId="0">
      <sharedItems count="130">
        <s v="CP01012"/>
        <s v="CP01034"/>
        <s v="CP01035"/>
        <s v="CP1035"/>
        <s v="CP1036"/>
        <s v="CP1037"/>
        <s v="CP1040"/>
        <s v="CP1042"/>
        <s v="CP1043Y"/>
        <s v="CP1045"/>
        <s v="CP1047"/>
        <s v="CP1049"/>
        <s v="CP1052"/>
        <s v="CP1053"/>
        <s v="CP1054"/>
        <s v="CP1059"/>
        <s v="CP1060"/>
        <s v="CP1063"/>
        <s v="CP10908"/>
        <s v="CP10912"/>
        <s v="CP10924B"/>
        <s v="CP1146"/>
        <s v="CP1156"/>
        <s v="CP12011"/>
        <s v="CP12012"/>
        <s v="CP1232"/>
        <s v="CP1235"/>
        <s v="CP1251"/>
        <s v="CP1259"/>
        <s v="CP12918"/>
        <s v="CP12954B"/>
        <s v="CP12972-M1"/>
        <s v="CP1432"/>
        <s v="CP1451"/>
        <s v="CP1452"/>
        <s v="CP1471"/>
        <s v="CP1515T"/>
        <s v="CP202515E"/>
        <s v="CP20905"/>
        <s v="CP20908"/>
        <s v="CP20912"/>
        <s v="CP20936"/>
        <s v="CP20954"/>
        <s v="CP20972"/>
        <s v="CP3020T"/>
        <s v="CP302515Y"/>
        <s v="CP3025T"/>
        <s v="CP32924"/>
        <s v="CP453515Y"/>
        <s v="CP5007"/>
        <s v="CP501"/>
        <s v="CP5015"/>
        <s v="CP5022"/>
        <s v="CP5032"/>
        <s v="CP5111"/>
        <s v="CP5605"/>
        <s v="CP5606"/>
        <s v="CP6001"/>
        <s v="CP6010"/>
        <s v="CP6012030E"/>
        <s v="CP6020E"/>
        <s v="CP6021E"/>
        <s v="CP6022E"/>
        <s v="CP6032E"/>
        <s v="CP605030Y"/>
        <s v="CP6077"/>
        <s v="CP6901"/>
        <s v="CP6902"/>
        <s v="CPD 4505015 SUPP"/>
        <s v="CPD 6010520 SUM"/>
        <s v="CPD 6018025 SUMS"/>
        <s v="CPR820"/>
        <s v="CWD 1080G"/>
        <s v="CWD 2540-4"/>
        <s v="CWD 2540G"/>
        <s v="CWD 2560-4"/>
        <s v="CWD 2560G"/>
        <s v="CWD 2580G"/>
        <s v="CWD 4025G"/>
        <s v="CWD 4040G"/>
        <s v="CWD 4060-4"/>
        <s v="CWD 4060G"/>
        <s v="CWD 4080G"/>
        <s v="CWD 6060-4"/>
        <s v="CWD 6060G"/>
        <s v="CWD 6080G"/>
        <s v="CWD 8010G"/>
        <s v="CWD 8040G"/>
        <s v="CWD 8080G"/>
        <s v="S14 1M0 00"/>
        <s v="S14 1M0 01"/>
        <s v="S14 1M0 02"/>
        <s v="S14 1M0 03"/>
        <s v="S14 1P0 00"/>
        <s v="S14 1P0 01"/>
        <s v="S21 C12K 00"/>
        <s v="S21 C12K 01"/>
        <s v="S21 C12K 02"/>
        <s v="S21 C12K 03"/>
        <s v="S21 C12K 04"/>
        <s v="S21 C12K 05"/>
        <s v="S21 C12K 06"/>
        <s v="V01 110 001"/>
        <s v="V01 160 001"/>
        <s v="V01 260 002"/>
        <s v="V01 260 003"/>
        <s v="V01 260 004"/>
        <s v="V01 325 001"/>
        <s v="V01 325 002"/>
        <s v="V02 110 003"/>
        <s v="V02 160 001"/>
        <s v="V02 160 003"/>
        <s v="V02 260 001"/>
        <s v="V02 260 003"/>
        <s v="V03 190 002"/>
        <s v="V03 220 001"/>
        <s v="V05 050 001"/>
        <s v="V05 050 002"/>
        <s v="V05 060 001"/>
        <s v="V05 060 002"/>
        <s v="V05 080 001"/>
        <s v="V05 092 002"/>
        <s v="V05 120 001"/>
        <s v="V05 120 002"/>
        <s v="V05 120 003"/>
        <s v="V05 120 004"/>
        <s v="V05 120 005"/>
        <s v="V10 01M 001"/>
        <s v="V10 02K 001"/>
        <s v="V10 05M 001"/>
      </sharedItems>
    </cacheField>
    <cacheField name="Наименование товара" numFmtId="0">
      <sharedItems/>
    </cacheField>
    <cacheField name="Кол-во, шт" numFmtId="3">
      <sharedItems containsSemiMixedTypes="0" containsString="0" containsNumber="1" containsInteger="1" minValue="1" maxValue="1820"/>
    </cacheField>
    <cacheField name="Факт" numFmtId="3">
      <sharedItems containsSemiMixedTypes="0" containsString="0" containsNumber="1" containsInteger="1" minValue="1" maxValue="18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x v="0"/>
    <s v="КОРПУС ЩИТА РАСПРЕДЕЛИТЕЛЬНОГО ДЛЯ МОДУЛЬНОГО ОБОРУДОВАНИЯ С КРЫШКОЙ 2M, ПВХ"/>
    <n v="200"/>
    <n v="200"/>
  </r>
  <r>
    <x v="1"/>
    <s v="КОРПУС ЩИТА РАСПРЕДЕЛИТЕЛЬНОГО ДЛЯ МОДУЛЬНОГО ОБОРУДОВАНИЯ С КРЫШКОЙ 4M, ПВХ"/>
    <n v="120"/>
    <n v="120"/>
  </r>
  <r>
    <x v="2"/>
    <s v="КОРПУС ЩИТА РАСПРЕДЕЛИТЕЛЬНОГО ДЛЯ МОДУЛЬНОГО ОБОРУДОВАНИЯ С КРЫШКОЙ 8M, ПВХ"/>
    <n v="56"/>
    <n v="56"/>
  </r>
  <r>
    <x v="3"/>
    <s v="КОРПУС РАСПАЯЧНОЙ КОРОБКИ 150X150X70ММ, ПЕРФОРИВАННЫЕ СТЕНКИ, КРЫШКА С ПРИЖ. ВИНТАМИ ИЗ НЕРЖ. СТАЛИ, ПЛАСТИК"/>
    <n v="12"/>
    <n v="12"/>
  </r>
  <r>
    <x v="4"/>
    <s v="КОРПУС РАСПАЯЧНОЙ КОРОБКИ Ø70X40ММ, КАБЕЛЬНЫЙ ВВОД, ПЛАСТИК"/>
    <n v="60"/>
    <n v="60"/>
  </r>
  <r>
    <x v="5"/>
    <s v="КОРПУС РАСПАЯЧНОЙ КОРОБКИ Ø85X45ММ, КАБЕЛЬНЫЙ ВВОД, ПЛАСТИК"/>
    <n v="40"/>
    <n v="40"/>
  </r>
  <r>
    <x v="6"/>
    <s v="КОРПУС РАСПАЯЧНОЙ КОРОБКИ 100X100X50ММ, КАБЕЛЬНЫЙ ВВОД, ПЛАСТИК"/>
    <n v="72"/>
    <n v="72"/>
  </r>
  <r>
    <x v="7"/>
    <s v="КОРПУС РАСПАЯЧНОЙ КОРОБКИ 190X145X80ММ, ПЕРФОРИВАННЫЕ СТЕНКИ, ПЛАСТИК"/>
    <n v="30"/>
    <n v="30"/>
  </r>
  <r>
    <x v="8"/>
    <s v="КОРПУС РАСПАЯЧНОЙ КОРОБКИ 250X200X90ММ, ПЕРФОРИВАННЫЕ СТЕНКИ, ПЛАСТИК, НЕ ПОДДЕРЖИВАЩИЙ ГОРЕНИЕ"/>
    <n v="10"/>
    <n v="12"/>
  </r>
  <r>
    <x v="9"/>
    <s v="КОРПУС РАСПАЯЧНОЙ КОРОБКИ 400X300X130ММ, ПЕРФОРИВАННЫЕ СТЕНКИ, ПЛАСТИК"/>
    <n v="6"/>
    <n v="6"/>
  </r>
  <r>
    <x v="10"/>
    <s v="КОРПУС РАСПАЯЧНОЙ КОРОБКИ 130X230X85ММ, ПЕРФОРИВАННЫЕ СТЕНКИ, ПЛАСТИК"/>
    <n v="16"/>
    <n v="16"/>
  </r>
  <r>
    <x v="11"/>
    <s v="КОРПУС РАСПАЯЧНОЙ КОРОБКИ 130X460X85ММ, ПЕРФОРИВАННЫЕ СТЕНКИ, ПЛАСТИК"/>
    <n v="8"/>
    <n v="8"/>
  </r>
  <r>
    <x v="12"/>
    <s v="КОРПУС РАСПАЯЧНОЙ КОРОБКИ 190X145X80ММ, КАБЕЛЬНЫЙ ВВОД, ПЛАСТИК"/>
    <n v="10"/>
    <n v="10"/>
  </r>
  <r>
    <x v="13"/>
    <s v="КОРПУС РАСПАЯЧНОЙ КОРОБКИ 250X200X90ММ, КАБЕЛЬНЫЙ ВВОД, ПЛАСТИК"/>
    <n v="12"/>
    <n v="12"/>
  </r>
  <r>
    <x v="14"/>
    <s v="КОРПУС РАСПАЯЧНОЙ КОРОБКИ 310X230X130ММ, КАБЕЛЬНЫЙ ВВОД, ПЛАСТИК"/>
    <n v="6"/>
    <n v="6"/>
  </r>
  <r>
    <x v="15"/>
    <s v="КОРПУС РАСПАЯЧНОЙ КОРОБКИ 80X120X120ММ, ПЕРФОРИВАННЫЕ СТЕНКИ, ПЛАСТИК"/>
    <n v="35"/>
    <n v="35"/>
  </r>
  <r>
    <x v="16"/>
    <s v="КОРПУС РАСПАЯЧНОЙ КОРОБКИ 100X100X120ММ, ПЕРФОРИВАННЫЕ СТЕНКИ, ПЛАСТИК"/>
    <n v="36"/>
    <n v="36"/>
  </r>
  <r>
    <x v="17"/>
    <s v="КОРПУС РАСПАЯЧНОЙ КОРОБКИ 250X200X160ММ, ПЕРФОРИВАННЫЕ СТЕНКИ, ПЛАСТИК"/>
    <n v="6"/>
    <n v="6"/>
  </r>
  <r>
    <x v="18"/>
    <s v="КОРПУС ЩИТА РАСПРЕДЕЛИТЕЛЬНОГО ДЛЯ МОДУЛЬНОГО ОБОРУДОВАНИЯ 8M, ВСТРАЕВАМЫЙ, ПРОЗРАЧНАЯ ДВЕРЦА"/>
    <n v="20"/>
    <n v="20"/>
  </r>
  <r>
    <x v="19"/>
    <s v="КОРПУС ЩИТА РАСПРЕДЕЛИТЕЛЬНОГО ДЛЯ МОДУЛЬНОГО ОБОРУДОВАНИЯ 12M, ВСТРАЕВАМЫЙ, ПРОЗРАЧНАЯ ДВЕРЦА"/>
    <n v="12"/>
    <n v="14"/>
  </r>
  <r>
    <x v="20"/>
    <s v="КОРПУС ЩИТА РАСПРЕДЕЛИТЕЛЬНОГО ДЛЯ МОДУЛЬНОГО ОБОРУДОВАНИЯ 24M(12X2), ВСТРАЕВАМЫЙ, ПРОЗРАЧНАЯ ЗАТЕМНЁННАЯ ДВЕРЦА, ЧЁРНЫЙ ЦВЕТ"/>
    <n v="10"/>
    <n v="10"/>
  </r>
  <r>
    <x v="21"/>
    <s v="КОРПУС РАСПАЯЧНОЙ КОРОБКИ 480X400X140ММ, ПЕРФОРИВАННЫЕ СТЕНКИ, ПЛАСТИК"/>
    <n v="4"/>
    <n v="4"/>
  </r>
  <r>
    <x v="22"/>
    <s v="КОРПУС РАСПАЯЧНОЙ КОРОБКИ 480X400X140ММ, КАБЕЛЬНЫЙ ВВОД, ПЛАСТИК"/>
    <n v="12"/>
    <n v="12"/>
  </r>
  <r>
    <x v="23"/>
    <s v="КЛЕММНАЯ КОЛОДКА (CP904) 12M"/>
    <n v="10"/>
    <n v="10"/>
  </r>
  <r>
    <x v="24"/>
    <s v="КЛЕММНАЯ КОЛОДКА 18M"/>
    <n v="10"/>
    <n v="10"/>
  </r>
  <r>
    <x v="25"/>
    <s v="КОРПУС РАСПАЯЧНОЙ КОРОБКИ 150X150X70ММ, ПЕРФОРИВАННЫЕ СТЕНКИ, ПЛАСТИК"/>
    <n v="20"/>
    <n v="20"/>
  </r>
  <r>
    <x v="26"/>
    <s v="КОРПУС РАСПАЯЧНОЙ КОРОБКИ 110X110X70ММ, ПЕРФОРИВАННЫЕ СТЕНКИ, ПЛАСТИК"/>
    <n v="60"/>
    <n v="60"/>
  </r>
  <r>
    <x v="27"/>
    <s v="КОРПУС РАСПАЯЧНОЙ КОРОБКИ 150X110X70ММ, ПЕРФОРИВАННЫЕ СТЕНКИ, ПЛАСТИК"/>
    <n v="9"/>
    <n v="9"/>
  </r>
  <r>
    <x v="28"/>
    <s v="КОРПУС РАСПАЯЧНОЙ КОРОБКИ 80X120X120ММ, ПЕРФОРИВАННЫЕ СТЕНКИ, ПЛАСТИК"/>
    <n v="35"/>
    <n v="35"/>
  </r>
  <r>
    <x v="29"/>
    <s v="КОРПУС ЩИТА РАСПРЕДЕЛИТЕЛЬНОГО ДЛЯ МОДУЛЬНОГО ОБОРУДОВАНИЯ 18M, ВСТРАЕВАМЫЙ, ГЛУХАЯ ДВЕРЦА"/>
    <n v="10"/>
    <n v="10"/>
  </r>
  <r>
    <x v="30"/>
    <s v="КОРПУС ЩИТА РАСПРЕДЕЛИТЕЛЬНОГО ДЛЯ МОДУЛЬНОГО ОБОРУДОВАНИЯ 54M(18X3), ВСТРАЕВАМЫЙ, ГЛУХАЯ ДВЕРЦА, ЧЁРНЫЙ ЦВЕТ"/>
    <n v="4"/>
    <n v="4"/>
  </r>
  <r>
    <x v="31"/>
    <s v="КОРПУС ЩИТА РАСПРЕДЕЛИТЕЛЬНОГО ДЛЯ МОДУЛЬНОГО ОБОРУДОВАНИЯ 72M(18X4), ВСТРАЕВАМЫЙ, ГЛУХАЯ ДВЕРЦА"/>
    <n v="4"/>
    <n v="4"/>
  </r>
  <r>
    <x v="32"/>
    <s v="КОРПУС РАСПАЯЧНОЙ КОРОБКИ 150X150X70ММ, ПЕРФОРИВАННЫЕ СТЕНКИ, ПЛАСТИК"/>
    <n v="10"/>
    <n v="10"/>
  </r>
  <r>
    <x v="33"/>
    <s v="КОРПУС РАСПАЯЧНОЙ КОРОБКИ 150X110X70ММ, ПЕРФОРИВАННЫЕ СТЕНКИ, ПЛАСТИК"/>
    <n v="9"/>
    <n v="9"/>
  </r>
  <r>
    <x v="34"/>
    <s v="КОРПУС РАСПАЯЧНОЙ КОРОБКИ 190X145X80ММ, ПЕРФОРИВАННЫЕ СТЕНКИ, ПЛАСТИК"/>
    <n v="10"/>
    <n v="10"/>
  </r>
  <r>
    <x v="35"/>
    <s v="КОРПУС РАСПАЯЧНОЙ КОРОБКИ 150X110X140ММ, ПЕРФОРИВАННЫЕ СТЕНКИ, ПЛАСТИК"/>
    <n v="32"/>
    <n v="32"/>
  </r>
  <r>
    <x v="36"/>
    <s v="МЕТАЛЛИЧСКАЯ МОНТАЖНАЯ КОРОБКА 150X150X120ММ, НАВЕСНОЙ МОНТАЖ, , IP54, СЕРЫЙ ЦВЕТ"/>
    <n v="8"/>
    <n v="8"/>
  </r>
  <r>
    <x v="37"/>
    <s v="КОРПУС ЩИТА 200X250X150ММ, НАВЕСНОЙ, МЕТАЛЛ, IP66, СЕРЫЙ ЦВЕТ"/>
    <n v="7"/>
    <n v="7"/>
  </r>
  <r>
    <x v="38"/>
    <s v="КОРПУС ЩИТА РАСПРЕДЕЛИТЕЛЬНОГО ДЛЯ МОДУЛЬНОГО ОБОРУДОВАНИЯ 5M, IP65"/>
    <n v="28"/>
    <n v="28"/>
  </r>
  <r>
    <x v="39"/>
    <s v="КОРПУС ЩИТА РАСПРЕДЕЛИТЕЛЬНОГО ДЛЯ МОДУЛЬНОГО ОБОРУДОВАНИЯ 8M, IP65"/>
    <n v="24"/>
    <n v="24"/>
  </r>
  <r>
    <x v="40"/>
    <s v="КОРПУС ЩИТА РАСПРЕДЕЛИТЕЛЬНОГО ДЛЯ МОДУЛЬНОГО ОБОРУДОВАНИЯ 12M, IP65"/>
    <n v="20"/>
    <n v="20"/>
  </r>
  <r>
    <x v="41"/>
    <s v="КОРПУС ЩИТА РАСПРЕДЕЛИТЕЛЬНОГО ДЛЯ МОДУЛЬНОГО ОБОРУДОВАНИЯ 36M (12X3), IP65"/>
    <n v="6"/>
    <n v="6"/>
  </r>
  <r>
    <x v="42"/>
    <s v="КОРПУС ЩИТА РАСПРЕДЕЛИТЕЛЬНОГО ДЛЯ МОДУЛЬНОГО ОБОРУДОВАНИЯ 54M (18X3), IP65"/>
    <n v="4"/>
    <n v="4"/>
  </r>
  <r>
    <x v="43"/>
    <s v="КОРПУС ЩИТА РАСПРЕДЕЛИТЕЛЬНОГО ДЛЯ МОДУЛЬНОГО ОБОРУДОВАНИЯ 72M (18X4), IP65"/>
    <n v="4"/>
    <n v="4"/>
  </r>
  <r>
    <x v="44"/>
    <s v="МЕТАЛЛИЧСКАЯ МОНТАЖНАЯ КОРОБКА 300X200X120ММ, НАВЕСНОЙ МОНТАЖ, , IP54, СЕРЫЙ ЦВЕТ"/>
    <n v="40"/>
    <n v="40"/>
  </r>
  <r>
    <x v="45"/>
    <s v="КОРПУС ЩИТА 300X250X150ММ, НАВЕСНОЙ, МЕТАЛЛ, IP40, СЕРЫЙ ЦВЕТ"/>
    <n v="5"/>
    <n v="5"/>
  </r>
  <r>
    <x v="46"/>
    <s v="МЕТАЛЛИЧСКАЯ МОНТАЖНАЯ КОРОБКА 300X250X120ММ, НАВЕСНОЙ МОНТАЖ, , IP54, СЕРЫЙ ЦВЕТ"/>
    <n v="6"/>
    <n v="6"/>
  </r>
  <r>
    <x v="47"/>
    <s v="КОРПУС ЩИТА РАСПРЕДЕЛИТЕЛЬНОГО ДЛЯ МОДУЛЬНОГО ОБОРУДОВАНИЯ 24M(12X2), НАВЕСНОЙ, ГЛУХАЯ ДВЕРЦА"/>
    <n v="10"/>
    <n v="10"/>
  </r>
  <r>
    <x v="48"/>
    <s v="КОРПУС ЩИТА 450X350X150ММ, НАВЕСНОЙ, МЕТАЛЛ, IP40, СЕРЫЙ ЦВЕТ"/>
    <n v="1"/>
    <n v="1"/>
  </r>
  <r>
    <x v="49"/>
    <s v="КОРПУС ЩИТА РАСПРЕДЕЛИТЕЛЬНОГО ВЛАГОЗАЩИЩЕННОГО 350X500X195ММ, НАВЕСНОЙ, ПЛАСТИК, ГЛУХАЯ ДВЕРЦА"/>
    <n v="100"/>
    <n v="100"/>
  </r>
  <r>
    <x v="50"/>
    <s v="300X200X150ММ КОРПУС ЩИТА, ПОЛИЭСТЕР, ГЛУХАЯ ДВЕРЦА"/>
    <n v="100"/>
    <n v="100"/>
  </r>
  <r>
    <x v="51"/>
    <s v="КОРПУС ЩИТА РАСПРЕДЕЛИТЕЛЬНОГО ВЛАГОЗАЩИЩЕННОГО 400X600X200ММ, НАВЕСНОЙ, ПЛАСТИК, ПРОЗРАЧНАЯ ДВЕРЦА"/>
    <n v="10"/>
    <n v="10"/>
  </r>
  <r>
    <x v="52"/>
    <s v="КОРПУС ЩИТА РАСПРЕДЕЛИТЕЛЬНОГО ВЛАГОЗАЩИЩЕННОГО 180X240X130ММ, НАВЕСНОЙ, ПЛАСТИК, ГЛУХАЯ ДВЕРЦА"/>
    <n v="54"/>
    <n v="54"/>
  </r>
  <r>
    <x v="53"/>
    <s v="КОРПУС ЩИТА РАСПРЕДЕЛИТЕЛЬНОГО ВЛАГОЗАЩИЩЕННОГО 180X240X130ММ, НАВЕСНОЙ, ПЛАСТИК, ПРОЗРАЧНАЯ ДВЕРЦА"/>
    <n v="26"/>
    <n v="26"/>
  </r>
  <r>
    <x v="54"/>
    <s v="КОРПУС ЩИТА РАСПРЕДЕЛИТЕЛЬНОГО 210X280X130ММ, DIN-РЕЙКА 8M (1Х8), НАВЕСНОЙ, ПЛАСТИК"/>
    <n v="10"/>
    <n v="10"/>
  </r>
  <r>
    <x v="55"/>
    <s v="КОРПУС ЩИТА РАСПРЕДЕЛИТЕЛЬНОГО ВЛАГОЗАЩИЩЕННОГО С КОЗЫРЬКОМ 400X600X200ММ, НАВЕСНОЙ, ПЛАСТИК, ГЛУХАЯ ДВЕРЦА"/>
    <n v="5"/>
    <n v="5"/>
  </r>
  <r>
    <x v="56"/>
    <s v="КОРПУС ЩИТА РАСПРЕДЕЛИТЕЛЬНОГО ВЛАГОЗАЩИЩЕННОГО С КОЗЫРЬКОМ 500X700X245ММ, НАВЕСНОЙ, ПЛАСТИК, ГЛУХАЯ ДВЕРЦА"/>
    <n v="5"/>
    <n v="5"/>
  </r>
  <r>
    <x v="57"/>
    <s v="КОРПУС ПРОМЫШЛЕННОГО ЩИТА 230X300X115ММ, 11M, ПЛАСТИК"/>
    <n v="6"/>
    <n v="6"/>
  </r>
  <r>
    <x v="58"/>
    <s v="КОРПУС ПРОМЫШЛЕННОГО ЩИТА 330X330X155ММ, 13M, ПЛАСТИК"/>
    <n v="5"/>
    <n v="5"/>
  </r>
  <r>
    <x v="59"/>
    <s v="КОРПУС ЩИТА 600X1200X300ММ, НАВЕСНОЙ, МЕТАЛЛ, IP66, СЕРЫЙ ЦВЕТ"/>
    <n v="1"/>
    <n v="1"/>
  </r>
  <r>
    <x v="60"/>
    <s v="КОРПУС ПРОМЫШЛЕННОГО ЩИТА С РОЗЕТКАМИ (1X3P+T 16A/380V + 2X2P 16A), ПЛАСТИК"/>
    <n v="20"/>
    <n v="20"/>
  </r>
  <r>
    <x v="61"/>
    <s v="КОРПУС ПРОМЫШЛЕННОГО ЩИТА С РОЗЕТКАМИ (1X3P+N+T 16A/380V + 2X2P 16A), ПЛАСТИК"/>
    <n v="15"/>
    <n v="15"/>
  </r>
  <r>
    <x v="62"/>
    <s v="КОРПУС ПРОМЫШЛЕННОГО ЩИТА С РОЗЕТКАМИ (1X3P+N+T 32A/380V + 2X2P 16A), ПЛАСТИК"/>
    <n v="18"/>
    <n v="18"/>
  </r>
  <r>
    <x v="63"/>
    <s v="КОРПУС ПРОМЫШЛЕННОГО ЩИТА С РОЗЕТКАМИ (2X3P+N+T 16A/380V + 2X2P 16A), ПЛАСТИК"/>
    <n v="2"/>
    <n v="2"/>
  </r>
  <r>
    <x v="64"/>
    <s v="КОРПУС ЩИТА 600X500X300ММ, НАВЕСНОЙ, МЕТАЛЛ, IP40, СЕРЫЙ ЦВЕТ"/>
    <n v="5"/>
    <n v="5"/>
  </r>
  <r>
    <x v="65"/>
    <s v="КОРПУС ПРОМЫШЛЕННОГО ЩИТА С РОЗЕТКАМИ (6X3P+N+T 32A/380V), ПЛАСТИК"/>
    <n v="30"/>
    <n v="30"/>
  </r>
  <r>
    <x v="66"/>
    <s v="РОЗЕТКА ПРОМЫШЛЕННАЯ SCHUKO"/>
    <n v="80"/>
    <n v="77"/>
  </r>
  <r>
    <x v="67"/>
    <s v="РОЗЕТКА ПРОМЫШЛЕННАЯ SCHUKO С РАМКОЙ"/>
    <n v="70"/>
    <n v="70"/>
  </r>
  <r>
    <x v="68"/>
    <s v="КОРПУС ЩИТА РАСПРЕДЕЛИТЕЛЬНОГО 450X500X150ММ, DIN-РЕЙКИ 40M(2X20) С ГЛУХОЙ ПАНЕЛЬЮ, НАВЕСНОЙ, МЕТАЛЛ, ПРОЗРАЧНАЯ ДВЕРЦА ИЗ ГНУТОГО СТЕКЛА, СЕРЫЙ ЦВЕТ"/>
    <n v="1"/>
    <n v="1"/>
  </r>
  <r>
    <x v="69"/>
    <s v="КОРПУС ЩИТА РАСПРЕДЕЛИТЕЛЬНОГО 600X1050X200ММ, МОНТАЖНАЯ ПАНЕЛЬ, НАВЕСНОЙ, МЕТАЛЛ, ПРОЗРАЧНАЯ ДВЕРЦА ИЗ ГНУТОГО СТЕКЛА, СЕРЫЙ ЦВЕТ"/>
    <n v="1"/>
    <n v="1"/>
  </r>
  <r>
    <x v="70"/>
    <s v="КОРПУС ЩИТА РАСПРЕДЕЛИТЕЛЬНОГО 600X1800X250ММ, DIN-РЕЙКИ 264M(11X24), НАВЕСНОЙ, МЕТАЛЛ, ПРОЗРАЧНАЯ ДВЕРЦА ИЗ ГНУТОГО СТЕКЛА, СЕРЫЙ ЦВЕТ"/>
    <n v="3"/>
    <n v="3"/>
  </r>
  <r>
    <x v="71"/>
    <s v="КОРПУС ЩИТА РАСПРЕДЕЛИТЕЛЬНОГО 320X300X140ММ, DIN-РЕЙКА 24M, ВСТРАЕВАЕМЫЙ, МЕТАЛЛ, СЕРЫЙ ЦВЕТ"/>
    <n v="5"/>
    <n v="5"/>
  </r>
  <r>
    <x v="72"/>
    <s v="КАБЕЛЬНЫЙ КАНАЛ ПЕРФОРИРОВАННЫЙ С КРЫШКОЙ (6ММ) 100X80ММ, СЕРЫЙ ЦВЕТ"/>
    <n v="80"/>
    <n v="80"/>
  </r>
  <r>
    <x v="73"/>
    <s v="КАБЕЛЬНЫЙ КАНАЛ ПЕРФОРИРОВАННЫЙ С КРЫШКОЙ (4ММ) 25X40ММ, СЕРЫЙ ЦВЕТ (1 ШТ 2 М)"/>
    <n v="600"/>
    <n v="600"/>
  </r>
  <r>
    <x v="74"/>
    <s v="КАБЕЛЬНЫЙ КАНАЛ ПЕРФОРИРОВАННЫЙ С КРЫШКОЙ (6ММ) 25X40ММ, СЕРЫЙ ЦВЕТ"/>
    <n v="1400"/>
    <n v="1400"/>
  </r>
  <r>
    <x v="75"/>
    <s v="КАБЕЛЬНЫЙ КАНАЛ ПЕРФОРИРОВАННЫЙ С КРЫШКОЙ (4ММ) 25X60ММ, СЕРЫЙ ЦВЕТ (1 ШТ 2 М)"/>
    <n v="480"/>
    <n v="480"/>
  </r>
  <r>
    <x v="76"/>
    <s v="КАБЕЛЬНЫЙ КАНАЛ ПЕРФОРИРОВАННЫЙ С КРЫШКОЙ (6ММ) 25X60ММ, СЕРЫЙ ЦВЕТ"/>
    <n v="540"/>
    <n v="540"/>
  </r>
  <r>
    <x v="77"/>
    <s v="КАБЕЛЬНЫЙ КАНАЛ ПЕРФОРИРОВАННЫЙ С КРЫШКОЙ (6ММ) 25X80ММ, СЕРЫЙ ЦВЕТ"/>
    <n v="960"/>
    <n v="960"/>
  </r>
  <r>
    <x v="78"/>
    <s v="КАБЕЛЬНЫЙ КАНАЛ ПЕРФОРИРОВАННЫЙ С КРЫШКОЙ (6ММ) 40X25ММ, СЕРЫЙ ЦВЕТ"/>
    <n v="160"/>
    <n v="160"/>
  </r>
  <r>
    <x v="79"/>
    <s v="КАБЕЛЬНЫЙ КАНАЛ ПЕРФОРИРОВАННЫЙ С КРЫШКОЙ (6ММ) 40X40ММ, СЕРЫЙ ЦВЕТ"/>
    <n v="1820"/>
    <n v="1820"/>
  </r>
  <r>
    <x v="80"/>
    <s v="КАБЕЛЬНЫЙ КАНАЛ ПЕРФОРИРОВАННЫЙ С КРЫШКОЙ (4ММ) 40X60ММ, СЕРЫЙ ЦВЕТ (1 ШТ 2 М)"/>
    <n v="288"/>
    <n v="288"/>
  </r>
  <r>
    <x v="81"/>
    <s v="КАБЕЛЬНЫЙ КАНАЛ ПЕРФОРИРОВАННЫЙ С КРЫШКОЙ (6ММ) 40X60ММ, СЕРЫЙ ЦВЕТ"/>
    <n v="432"/>
    <n v="432"/>
  </r>
  <r>
    <x v="82"/>
    <s v="КАБЕЛЬНЫЙ КАНАЛ ПЕРФОРИРОВАННЫЙ С КРЫШКОЙ (6ММ) 40X80ММ, СЕРЫЙ ЦВЕТ"/>
    <n v="864"/>
    <n v="864"/>
  </r>
  <r>
    <x v="83"/>
    <s v="КАБЕЛЬНЫЙ КАНАЛ ПЕРФОРИРОВАННЫЙ С КРЫШКОЙ (4ММ) 60X60ММ, СЕРЫЙ ЦВЕТ (1 ШТ 2 М)"/>
    <n v="384"/>
    <n v="384"/>
  </r>
  <r>
    <x v="84"/>
    <s v="КАБЕЛЬНЫЙ КАНАЛ ПЕРФОРИРОВАННЫЙ С КРЫШКОЙ (6ММ) 60X60ММ, СЕРЫЙ ЦВЕТ"/>
    <n v="480"/>
    <n v="480"/>
  </r>
  <r>
    <x v="85"/>
    <s v="КАБЕЛЬНЫЙ КАНАЛ ПЕРФОРИРОВАННЫЙ С КРЫШКОЙ (6ММ) 60X80ММ, СЕРЫЙ ЦВЕТ"/>
    <n v="648"/>
    <n v="648"/>
  </r>
  <r>
    <x v="86"/>
    <s v="КАБЕЛЬНЫЙ КАНАЛ ПЕРФОРИРОВАННЫЙ С КРЫШКОЙ (6ММ) 80X100ММ, СЕРЫЙ ЦВЕТ (1 ШТ 2 М)"/>
    <n v="640"/>
    <n v="640"/>
  </r>
  <r>
    <x v="87"/>
    <s v="КАБЕЛЬНЫЙ КАНАЛ ПЕРФОРИРОВАННЫЙ С КРЫШКОЙ (6ММ) 80X40ММ, СЕРЫЙ ЦВЕТ"/>
    <n v="96"/>
    <n v="96"/>
  </r>
  <r>
    <x v="88"/>
    <s v="КАБЕЛЬНЫЙ КАНАЛ ПЕРФОРИРОВАННЫЙ С КРЫШКОЙ (6ММ) 80X80ММ, СЕРЫЙ ЦВЕТ"/>
    <n v="192"/>
    <n v="192"/>
  </r>
  <r>
    <x v="89"/>
    <s v="СТАБИЛИЗАТОР НАПРЯЖЕНИЯ 500ВА В МЕТАЛЛИЧЕСКОМ КОРПУСЕ C АЛЮМИНИЕВОЙ ОБМОТКОЙ"/>
    <n v="10"/>
    <n v="10"/>
  </r>
  <r>
    <x v="90"/>
    <s v="СТАБИЛИЗАТОР НАПРЯЖЕНИЯ 1000ВА В МЕТАЛЛИЧЕСКОМ КОРПУСЕ C АЛЮМИНИЕВОЙ ОБМОТКОЙ"/>
    <n v="10"/>
    <n v="10"/>
  </r>
  <r>
    <x v="91"/>
    <s v="СТАБИЛИЗАТОР НАПРЯЖЕНИЯ 1500ВА В МЕТАЛЛИЧЕСКОМ КОРПУСЕ C АЛЮМИНИЕВОЙ ОБМОТКОЙ"/>
    <n v="5"/>
    <n v="5"/>
  </r>
  <r>
    <x v="92"/>
    <s v="СТАБИЛИЗАТОР НАПРЯЖЕНИЯ 1500K ВА В МЕТАЛЛИЧЕСКОМ КОРПУСЕ C АЛЮМИНИЕВОЙ ОБМОТКОЙ"/>
    <n v="5"/>
    <n v="5"/>
  </r>
  <r>
    <x v="93"/>
    <s v="СТАБИЛИЗАТОР НАПРЯЖЕНИЯ 500 ВА В ПЛАСТИКОВОМ КОРПУСЕ C АЛЮМИНИЕВОЙ ОБМОТКОЙ"/>
    <n v="5"/>
    <n v="5"/>
  </r>
  <r>
    <x v="94"/>
    <s v="СТАБИЛИЗАТОР НАПРЯЖЕНИЯ 1000 ВА В ПЛАСТИКОВОМ КОРПУСЕ C АЛЮМИНИЕВОЙ ОБМОТКОЙ"/>
    <n v="5"/>
    <n v="5"/>
  </r>
  <r>
    <x v="95"/>
    <s v="ТРАНСФОРМАТОР 220/12 - 220/24, 30ВА С МЕДНОЙ ОБМОТКОЙ"/>
    <n v="10"/>
    <n v="10"/>
  </r>
  <r>
    <x v="96"/>
    <s v="ТРАНСФОРМАТОР 220/12 - 220/24, 50ВА С МЕДНОЙ ОБМОТКОЙ"/>
    <n v="5"/>
    <n v="6"/>
  </r>
  <r>
    <x v="97"/>
    <s v="ТРАНСФОРМАТОР 220/12 - 220/24, 75ВА С МЕДНОЙ ОБМОТКОЙ"/>
    <n v="5"/>
    <n v="4"/>
  </r>
  <r>
    <x v="98"/>
    <s v="ТРАНСФОРМАТОР 220/12 - 220/24, 100ВА С МЕДНОЙ ОБМОТКОЙ"/>
    <n v="5"/>
    <n v="5"/>
  </r>
  <r>
    <x v="99"/>
    <s v="ТРАНСФОРМАТОР 220/12 - 220/24, 150ВА С МЕДНОЙ ОБМОТКОЙ"/>
    <n v="5"/>
    <n v="5"/>
  </r>
  <r>
    <x v="100"/>
    <s v="ТРАНСФОРМАТОР 220/12 - 220/24, 200ВА С МЕДНОЙ ОБМОТКОЙ"/>
    <n v="5"/>
    <n v="5"/>
  </r>
  <r>
    <x v="101"/>
    <s v="ТРАНСФОРМАТОР 220/12 - 220/24, 250ВА С МЕДНОЙ ОБМОТКОЙ"/>
    <n v="5"/>
    <n v="5"/>
  </r>
  <r>
    <x v="102"/>
    <s v="ВЕНТИЛЯТОР 80Х80Х38ММ С РЕШЕТКОЙ 110Х110ММ, 34М3/Ч, 230В-50/60HZ"/>
    <n v="10"/>
    <n v="10"/>
  </r>
  <r>
    <x v="103"/>
    <s v="ВЕНТИЛЯТОР 120Х120Х38ММ С РЕШЕТКОЙ 160Х160ММ, 130М3/Ч, 230В-50/60HZ"/>
    <n v="10"/>
    <n v="10"/>
  </r>
  <r>
    <x v="104"/>
    <s v="ВЕНТИЛЯТОР 170Х150Х55ММ С РЕШЕТКОЙ 260Х260ММ, 285М3/Ч, 230В-50/60HZ"/>
    <n v="5"/>
    <n v="5"/>
  </r>
  <r>
    <x v="105"/>
    <s v="ВЕНТИЛЯТОР 170Х150Х51ММ С РЕШЕТКОЙ 260Х260ММ, 288М3/Ч, 230В-50/60HZ"/>
    <n v="10"/>
    <n v="10"/>
  </r>
  <r>
    <x v="106"/>
    <s v="ВЕНТИЛЯТОР 225Х225Х80ММ С РЕШЕТКОЙ 260Х260ММ, 755М3/Ч, 230В-50/60HZ"/>
    <n v="5"/>
    <n v="5"/>
  </r>
  <r>
    <x v="107"/>
    <s v="ВЕНТИЛЯТОР 220×60ММ С РЕШЕТКОЙ 325×325ММ, 520М3/Ч, 230В-50/60HZ"/>
    <n v="5"/>
    <n v="5"/>
  </r>
  <r>
    <x v="108"/>
    <s v="ВЕНТИЛЯТОР 280Х280Х80ММ С РЕШЕТКОЙ 325×325ММ, 1533М3/Ч, 230В-50/60HZ"/>
    <n v="2"/>
    <n v="2"/>
  </r>
  <r>
    <x v="109"/>
    <s v="ВЕНТИЛЯЦИОННАЯ РЕШЕТКА 110X110ММ, IP54, СЕРЫЙ ЦВЕТ"/>
    <n v="2"/>
    <n v="2"/>
  </r>
  <r>
    <x v="110"/>
    <s v="ВЕНТИЛЯЦИОННАЯ РЕШЕТКА 160X160ММ, IP54, СЕРЫЙ ЦВЕТ"/>
    <n v="10"/>
    <n v="10"/>
  </r>
  <r>
    <x v="111"/>
    <s v="ВЕНТИЛЯЦИОННАЯ РЕШЕТКА 160X160ММ, IP54, СЕРЫЙ ЦВЕТ"/>
    <n v="10"/>
    <n v="10"/>
  </r>
  <r>
    <x v="112"/>
    <s v="ВЕНТИЛЯЦИОННАЯ РЕШЕТКА 260X260ММ, IP54, СЕРЫЙ ЦВЕТ"/>
    <n v="5"/>
    <n v="5"/>
  </r>
  <r>
    <x v="113"/>
    <s v="ВЕНТИЛЯЦИОННАЯ РЕШЕТКА 260X260ММ, IP54, СЕРЫЙ ЦВЕТ"/>
    <n v="10"/>
    <n v="10"/>
  </r>
  <r>
    <x v="114"/>
    <s v="КРЫШНЫЕ ВЕНТИЛЯТОРЫ С ФИЛЬТРАЦИЕЙ (БЫСТРОЕ ПОДКЛ.) Ø190ММ, 600 М3/Ч, 230В-50/60HZ, IP54"/>
    <n v="5"/>
    <n v="5"/>
  </r>
  <r>
    <x v="115"/>
    <s v="ВЕНТИЛЯТОР КРЫШНЫЙ (ВИНТОВОЕ ПОДКЛ.) Ø220ММ, 230В-50/60HZ"/>
    <n v="5"/>
    <n v="2"/>
  </r>
  <r>
    <x v="116"/>
    <s v="ВЕНТИЛЯТОР 50Х50Х10ММ, 6000 М3/Ч, 12В DC, ВТУЛКА"/>
    <n v="10"/>
    <n v="10"/>
  </r>
  <r>
    <x v="117"/>
    <s v="ВЕНТИЛЯТОР 50Х50Х10ММ, 6000 М3/Ч, 1,92В AC, ВТУЛКА"/>
    <n v="10"/>
    <n v="10"/>
  </r>
  <r>
    <x v="118"/>
    <s v="ВЕНТИЛЯТОР 60Х60Х25ММ, 4500 М3/Ч, 12В DC, ВТУЛКА"/>
    <n v="10"/>
    <n v="17"/>
  </r>
  <r>
    <x v="119"/>
    <s v="ВЕНТИЛЯТОР 60Х60Х25ММ, 4500 М3/Ч, 24В AC, ВТУЛКА"/>
    <n v="10"/>
    <n v="3"/>
  </r>
  <r>
    <x v="120"/>
    <s v="ВЕНТИЛЯТОР 80Х80Х25ММ, 3500 М3/Ч, 24В AC, ВТУЛКА"/>
    <n v="10"/>
    <n v="10"/>
  </r>
  <r>
    <x v="121"/>
    <s v="ВЕНТИЛЯТОР 92Х92Х25ММ, 3500 М3/Ч, 24В AC, ВТУЛКА"/>
    <n v="10"/>
    <n v="10"/>
  </r>
  <r>
    <x v="122"/>
    <s v="ВЕНТИЛЯТОР 120Х120Х25ММ, 3200 М3/Ч, 12В DC, ВТУЛКА"/>
    <n v="10"/>
    <n v="10"/>
  </r>
  <r>
    <x v="123"/>
    <s v="ВЕНТИЛЯТОР 120Х120Х25ММ, 3200 М3/Ч, 24В AC, ВТУЛКА"/>
    <n v="10"/>
    <n v="10"/>
  </r>
  <r>
    <x v="124"/>
    <s v="ВЕНТИЛЯТОР 120Х120Х38ММ, 2500 М3/Ч, 24В AC, ВТУЛКА"/>
    <n v="10"/>
    <n v="10"/>
  </r>
  <r>
    <x v="125"/>
    <s v="ВЕНТИЛЯТОР 120Х120Х38ММ, 2500 М3/Ч, 48В AC, ВТУЛКА"/>
    <n v="10"/>
    <n v="10"/>
  </r>
  <r>
    <x v="126"/>
    <s v="ВЕНТИЛЯТОР 120Х120Х38ММ, 2500 М3/Ч, 12В DC, ВТУЛКА"/>
    <n v="10"/>
    <n v="10"/>
  </r>
  <r>
    <x v="127"/>
    <s v="ТЕРМОСТАТ ДЛЯ ВЕНТИЛЯТОРОВ"/>
    <n v="5"/>
    <n v="5"/>
  </r>
  <r>
    <x v="128"/>
    <s v="ТЕРМОСТАТ ДЛЯ ОБОГРЕВАТЕЛЕЙ "/>
    <n v="2"/>
    <n v="2"/>
  </r>
  <r>
    <x v="129"/>
    <s v="ТЕРМОСТАТ ВЕНТИЛЯТОР + ОБОГРЕВАТЕЛЬ"/>
    <n v="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6AD667-024A-4657-8175-2F6493C457B2}" name="Сводная таблица1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F3:H134" firstHeaderRow="0" firstDataRow="1" firstDataCol="1"/>
  <pivotFields count="4">
    <pivotField axis="axisRow" showAll="0">
      <items count="1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showAll="0"/>
    <pivotField dataField="1" numFmtId="3" showAll="0"/>
    <pivotField dataField="1" numFmtId="3" showAll="0"/>
  </pivotFields>
  <rowFields count="1">
    <field x="0"/>
  </rowFields>
  <rowItems count="1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Кол-во, шт" fld="2" baseField="0" baseItem="0"/>
    <dataField name="Сумма по полю Факт" fld="3" baseField="0" baseItem="0"/>
  </dataFields>
  <formats count="12">
    <format dxfId="24">
      <pivotArea collapsedLevelsAreSubtotals="1" fieldPosition="0">
        <references count="1">
          <reference field="0" count="0"/>
        </references>
      </pivotArea>
    </format>
    <format dxfId="23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2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21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20">
      <pivotArea collapsedLevelsAreSubtotals="1" fieldPosition="0">
        <references count="1">
          <reference field="0" count="0"/>
        </references>
      </pivotArea>
    </format>
    <format dxfId="19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8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  <format dxfId="16">
      <pivotArea collapsedLevelsAreSubtotals="1" fieldPosition="0">
        <references count="1">
          <reference field="0" count="0"/>
        </references>
      </pivotArea>
    </format>
    <format dxfId="15">
      <pivotArea dataOnly="0" labelOnly="1" fieldPosition="0">
        <references count="1">
          <reference field="0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4">
      <pivotArea dataOnly="0" labelOnly="1" fieldPosition="0">
        <references count="1">
          <reference field="0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3">
      <pivotArea dataOnly="0" labelOnly="1" fieldPosition="0">
        <references count="1">
          <reference field="0" count="3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760757-5313-4C34-9C43-F8F966FBF9A7}" name="Таблица13" displayName="Таблица13" ref="A1:D132" totalsRowCount="1" headerRowDxfId="12" dataDxfId="10" headerRowBorderDxfId="11" tableBorderDxfId="9" totalsRowBorderDxfId="8">
  <autoFilter ref="A1:D131" xr:uid="{00000000-0009-0000-0100-000001000000}"/>
  <tableColumns count="4">
    <tableColumn id="17" xr3:uid="{99C0BBAD-BE52-4283-A909-A410E805681C}" name="Модель" dataDxfId="7" totalsRowDxfId="6"/>
    <tableColumn id="3" xr3:uid="{C639E24C-4ABE-4912-9C46-02C3C8A28880}" name="Наименование товара" dataDxfId="5" totalsRowDxfId="4" dataCellStyle="Обычный 11"/>
    <tableColumn id="5" xr3:uid="{5CAE7D7D-5570-4A28-8AC9-E00C67761DF6}" name="Кол-во, шт" dataDxfId="3" totalsRowDxfId="2" dataCellStyle="Обычный 2"/>
    <tableColumn id="1" xr3:uid="{C1E77205-4B6D-4652-9CE5-D7F08E38014A}" name="Факт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0E153-1658-4F6E-8D05-086365E8638E}">
  <dimension ref="A1:H134"/>
  <sheetViews>
    <sheetView zoomScale="80" zoomScaleNormal="80" workbookViewId="0">
      <pane xSplit="1" ySplit="1" topLeftCell="B116" activePane="bottomRight" state="frozen"/>
      <selection pane="topRight" activeCell="B1" sqref="B1"/>
      <selection pane="bottomLeft" activeCell="A2" sqref="A2"/>
      <selection pane="bottomRight" activeCell="F4" sqref="F4:H133"/>
    </sheetView>
  </sheetViews>
  <sheetFormatPr defaultColWidth="9.140625" defaultRowHeight="15"/>
  <cols>
    <col min="1" max="1" width="20.28515625" style="10" customWidth="1"/>
    <col min="2" max="2" width="52.85546875" style="4" customWidth="1"/>
    <col min="3" max="3" width="15.28515625" style="2" bestFit="1" customWidth="1"/>
    <col min="4" max="5" width="20.85546875" style="1" bestFit="1" customWidth="1"/>
    <col min="6" max="6" width="19.42578125" style="1" bestFit="1" customWidth="1"/>
    <col min="7" max="7" width="28.42578125" style="1" bestFit="1" customWidth="1"/>
    <col min="8" max="8" width="22.140625" style="1" bestFit="1" customWidth="1"/>
    <col min="9" max="16384" width="9.140625" style="1"/>
  </cols>
  <sheetData>
    <row r="1" spans="1:8" s="6" customFormat="1">
      <c r="A1" s="5" t="s">
        <v>0</v>
      </c>
      <c r="B1" s="5" t="s">
        <v>1</v>
      </c>
      <c r="C1" s="11" t="s">
        <v>2</v>
      </c>
      <c r="D1" s="14" t="s">
        <v>257</v>
      </c>
    </row>
    <row r="2" spans="1:8" s="6" customFormat="1" ht="75">
      <c r="A2" s="16" t="s">
        <v>50</v>
      </c>
      <c r="B2" s="17" t="s">
        <v>158</v>
      </c>
      <c r="C2" s="18">
        <v>200</v>
      </c>
      <c r="D2" s="18">
        <v>200</v>
      </c>
    </row>
    <row r="3" spans="1:8" s="6" customFormat="1" ht="75">
      <c r="A3" s="16" t="s">
        <v>51</v>
      </c>
      <c r="B3" s="17" t="s">
        <v>159</v>
      </c>
      <c r="C3" s="18">
        <v>120</v>
      </c>
      <c r="D3" s="18">
        <v>120</v>
      </c>
      <c r="F3" s="24" t="s">
        <v>258</v>
      </c>
      <c r="G3" s="10" t="s">
        <v>260</v>
      </c>
      <c r="H3" s="10" t="s">
        <v>261</v>
      </c>
    </row>
    <row r="4" spans="1:8" s="6" customFormat="1" ht="75">
      <c r="A4" s="16" t="s">
        <v>52</v>
      </c>
      <c r="B4" s="17" t="s">
        <v>160</v>
      </c>
      <c r="C4" s="18">
        <v>56</v>
      </c>
      <c r="D4" s="18">
        <v>56</v>
      </c>
      <c r="F4" s="27" t="s">
        <v>50</v>
      </c>
      <c r="G4" s="28">
        <v>200</v>
      </c>
      <c r="H4" s="28">
        <v>200</v>
      </c>
    </row>
    <row r="5" spans="1:8" s="6" customFormat="1" ht="93.75">
      <c r="A5" s="16" t="s">
        <v>53</v>
      </c>
      <c r="B5" s="17" t="s">
        <v>25</v>
      </c>
      <c r="C5" s="18">
        <v>12</v>
      </c>
      <c r="D5" s="18">
        <v>12</v>
      </c>
      <c r="F5" s="27" t="s">
        <v>51</v>
      </c>
      <c r="G5" s="28">
        <v>120</v>
      </c>
      <c r="H5" s="28">
        <v>120</v>
      </c>
    </row>
    <row r="6" spans="1:8" s="6" customFormat="1" ht="56.25">
      <c r="A6" s="16" t="s">
        <v>54</v>
      </c>
      <c r="B6" s="17" t="s">
        <v>161</v>
      </c>
      <c r="C6" s="18">
        <v>60</v>
      </c>
      <c r="D6" s="18">
        <v>60</v>
      </c>
      <c r="F6" s="27" t="s">
        <v>52</v>
      </c>
      <c r="G6" s="28">
        <v>56</v>
      </c>
      <c r="H6" s="28">
        <v>56</v>
      </c>
    </row>
    <row r="7" spans="1:8" s="6" customFormat="1" ht="56.25">
      <c r="A7" s="16" t="s">
        <v>55</v>
      </c>
      <c r="B7" s="17" t="s">
        <v>162</v>
      </c>
      <c r="C7" s="18">
        <v>40</v>
      </c>
      <c r="D7" s="18">
        <v>40</v>
      </c>
      <c r="F7" s="27" t="s">
        <v>53</v>
      </c>
      <c r="G7" s="28">
        <v>12</v>
      </c>
      <c r="H7" s="28">
        <v>12</v>
      </c>
    </row>
    <row r="8" spans="1:8" s="6" customFormat="1" ht="56.25">
      <c r="A8" s="16" t="s">
        <v>11</v>
      </c>
      <c r="B8" s="17" t="s">
        <v>26</v>
      </c>
      <c r="C8" s="18">
        <v>72</v>
      </c>
      <c r="D8" s="18">
        <v>72</v>
      </c>
      <c r="F8" s="27" t="s">
        <v>54</v>
      </c>
      <c r="G8" s="28">
        <v>60</v>
      </c>
      <c r="H8" s="28">
        <v>60</v>
      </c>
    </row>
    <row r="9" spans="1:8" s="6" customFormat="1" ht="56.25">
      <c r="A9" s="16" t="s">
        <v>56</v>
      </c>
      <c r="B9" s="17" t="s">
        <v>30</v>
      </c>
      <c r="C9" s="18">
        <v>30</v>
      </c>
      <c r="D9" s="18">
        <v>30</v>
      </c>
      <c r="F9" s="27" t="s">
        <v>55</v>
      </c>
      <c r="G9" s="28">
        <v>40</v>
      </c>
      <c r="H9" s="28">
        <v>40</v>
      </c>
    </row>
    <row r="10" spans="1:8" s="6" customFormat="1" ht="75">
      <c r="A10" s="22" t="s">
        <v>57</v>
      </c>
      <c r="B10" s="20" t="s">
        <v>163</v>
      </c>
      <c r="C10" s="23">
        <v>10</v>
      </c>
      <c r="D10" s="23">
        <v>12</v>
      </c>
      <c r="F10" s="27" t="s">
        <v>11</v>
      </c>
      <c r="G10" s="28">
        <v>72</v>
      </c>
      <c r="H10" s="28">
        <v>72</v>
      </c>
    </row>
    <row r="11" spans="1:8" s="6" customFormat="1" ht="56.25">
      <c r="A11" s="16" t="s">
        <v>58</v>
      </c>
      <c r="B11" s="17" t="s">
        <v>164</v>
      </c>
      <c r="C11" s="18">
        <v>6</v>
      </c>
      <c r="D11" s="18">
        <v>6</v>
      </c>
      <c r="F11" s="27" t="s">
        <v>56</v>
      </c>
      <c r="G11" s="28">
        <v>30</v>
      </c>
      <c r="H11" s="28">
        <v>30</v>
      </c>
    </row>
    <row r="12" spans="1:8" s="6" customFormat="1" ht="56.25">
      <c r="A12" s="16" t="s">
        <v>59</v>
      </c>
      <c r="B12" s="17" t="s">
        <v>165</v>
      </c>
      <c r="C12" s="18">
        <v>16</v>
      </c>
      <c r="D12" s="18">
        <v>16</v>
      </c>
      <c r="F12" s="27" t="s">
        <v>57</v>
      </c>
      <c r="G12" s="28">
        <v>10</v>
      </c>
      <c r="H12" s="28">
        <v>12</v>
      </c>
    </row>
    <row r="13" spans="1:8" s="6" customFormat="1" ht="56.25">
      <c r="A13" s="16" t="s">
        <v>60</v>
      </c>
      <c r="B13" s="17" t="s">
        <v>166</v>
      </c>
      <c r="C13" s="18">
        <v>8</v>
      </c>
      <c r="D13" s="18">
        <v>8</v>
      </c>
      <c r="F13" s="27" t="s">
        <v>58</v>
      </c>
      <c r="G13" s="28">
        <v>6</v>
      </c>
      <c r="H13" s="28">
        <v>6</v>
      </c>
    </row>
    <row r="14" spans="1:8" s="6" customFormat="1" ht="56.25">
      <c r="A14" s="16" t="s">
        <v>61</v>
      </c>
      <c r="B14" s="17" t="s">
        <v>32</v>
      </c>
      <c r="C14" s="18">
        <v>10</v>
      </c>
      <c r="D14" s="18">
        <v>10</v>
      </c>
      <c r="F14" s="27" t="s">
        <v>59</v>
      </c>
      <c r="G14" s="28">
        <v>16</v>
      </c>
      <c r="H14" s="28">
        <v>16</v>
      </c>
    </row>
    <row r="15" spans="1:8" s="6" customFormat="1" ht="56.25">
      <c r="A15" s="16" t="s">
        <v>62</v>
      </c>
      <c r="B15" s="17" t="s">
        <v>167</v>
      </c>
      <c r="C15" s="18">
        <v>12</v>
      </c>
      <c r="D15" s="18">
        <v>12</v>
      </c>
      <c r="F15" s="27" t="s">
        <v>60</v>
      </c>
      <c r="G15" s="28">
        <v>8</v>
      </c>
      <c r="H15" s="28">
        <v>8</v>
      </c>
    </row>
    <row r="16" spans="1:8" s="6" customFormat="1" ht="56.25">
      <c r="A16" s="16" t="s">
        <v>63</v>
      </c>
      <c r="B16" s="17" t="s">
        <v>168</v>
      </c>
      <c r="C16" s="18">
        <v>6</v>
      </c>
      <c r="D16" s="18">
        <v>6</v>
      </c>
      <c r="F16" s="27" t="s">
        <v>61</v>
      </c>
      <c r="G16" s="28">
        <v>10</v>
      </c>
      <c r="H16" s="28">
        <v>10</v>
      </c>
    </row>
    <row r="17" spans="1:8" s="6" customFormat="1" ht="56.25">
      <c r="A17" s="16" t="s">
        <v>64</v>
      </c>
      <c r="B17" s="17" t="s">
        <v>169</v>
      </c>
      <c r="C17" s="18">
        <v>35</v>
      </c>
      <c r="D17" s="18">
        <v>35</v>
      </c>
      <c r="F17" s="27" t="s">
        <v>62</v>
      </c>
      <c r="G17" s="28">
        <v>12</v>
      </c>
      <c r="H17" s="28">
        <v>12</v>
      </c>
    </row>
    <row r="18" spans="1:8" s="6" customFormat="1" ht="56.25">
      <c r="A18" s="16" t="s">
        <v>65</v>
      </c>
      <c r="B18" s="17" t="s">
        <v>170</v>
      </c>
      <c r="C18" s="18">
        <v>36</v>
      </c>
      <c r="D18" s="18">
        <v>36</v>
      </c>
      <c r="F18" s="27" t="s">
        <v>63</v>
      </c>
      <c r="G18" s="28">
        <v>6</v>
      </c>
      <c r="H18" s="28">
        <v>6</v>
      </c>
    </row>
    <row r="19" spans="1:8" s="6" customFormat="1" ht="56.25">
      <c r="A19" s="16" t="s">
        <v>66</v>
      </c>
      <c r="B19" s="17" t="s">
        <v>34</v>
      </c>
      <c r="C19" s="18">
        <v>6</v>
      </c>
      <c r="D19" s="18">
        <v>6</v>
      </c>
      <c r="F19" s="27" t="s">
        <v>64</v>
      </c>
      <c r="G19" s="28">
        <v>35</v>
      </c>
      <c r="H19" s="28">
        <v>35</v>
      </c>
    </row>
    <row r="20" spans="1:8" s="6" customFormat="1" ht="93.75">
      <c r="A20" s="16" t="s">
        <v>67</v>
      </c>
      <c r="B20" s="17" t="s">
        <v>171</v>
      </c>
      <c r="C20" s="18">
        <v>20</v>
      </c>
      <c r="D20" s="18">
        <v>20</v>
      </c>
      <c r="F20" s="27" t="s">
        <v>65</v>
      </c>
      <c r="G20" s="28">
        <v>36</v>
      </c>
      <c r="H20" s="28">
        <v>36</v>
      </c>
    </row>
    <row r="21" spans="1:8" s="6" customFormat="1" ht="93.75">
      <c r="A21" s="22" t="s">
        <v>68</v>
      </c>
      <c r="B21" s="20" t="s">
        <v>172</v>
      </c>
      <c r="C21" s="23">
        <v>12</v>
      </c>
      <c r="D21" s="23">
        <v>14</v>
      </c>
      <c r="F21" s="27" t="s">
        <v>66</v>
      </c>
      <c r="G21" s="28">
        <v>6</v>
      </c>
      <c r="H21" s="28">
        <v>6</v>
      </c>
    </row>
    <row r="22" spans="1:8" s="6" customFormat="1" ht="112.5">
      <c r="A22" s="16" t="s">
        <v>12</v>
      </c>
      <c r="B22" s="17" t="s">
        <v>27</v>
      </c>
      <c r="C22" s="18">
        <v>10</v>
      </c>
      <c r="D22" s="18">
        <v>10</v>
      </c>
      <c r="F22" s="27" t="s">
        <v>67</v>
      </c>
      <c r="G22" s="28">
        <v>20</v>
      </c>
      <c r="H22" s="28">
        <v>20</v>
      </c>
    </row>
    <row r="23" spans="1:8" s="6" customFormat="1" ht="56.25">
      <c r="A23" s="16" t="s">
        <v>13</v>
      </c>
      <c r="B23" s="17" t="s">
        <v>31</v>
      </c>
      <c r="C23" s="18">
        <v>4</v>
      </c>
      <c r="D23" s="18">
        <v>4</v>
      </c>
      <c r="F23" s="27" t="s">
        <v>68</v>
      </c>
      <c r="G23" s="28">
        <v>12</v>
      </c>
      <c r="H23" s="28">
        <v>14</v>
      </c>
    </row>
    <row r="24" spans="1:8" s="6" customFormat="1" ht="56.25">
      <c r="A24" s="16" t="s">
        <v>14</v>
      </c>
      <c r="B24" s="17" t="s">
        <v>33</v>
      </c>
      <c r="C24" s="18">
        <v>12</v>
      </c>
      <c r="D24" s="18">
        <v>12</v>
      </c>
      <c r="F24" s="27" t="s">
        <v>12</v>
      </c>
      <c r="G24" s="28">
        <v>10</v>
      </c>
      <c r="H24" s="28">
        <v>10</v>
      </c>
    </row>
    <row r="25" spans="1:8" s="6" customFormat="1" ht="20.25">
      <c r="A25" s="16" t="s">
        <v>69</v>
      </c>
      <c r="B25" s="17" t="s">
        <v>173</v>
      </c>
      <c r="C25" s="18">
        <v>10</v>
      </c>
      <c r="D25" s="18">
        <v>10</v>
      </c>
      <c r="F25" s="27" t="s">
        <v>13</v>
      </c>
      <c r="G25" s="28">
        <v>4</v>
      </c>
      <c r="H25" s="28">
        <v>4</v>
      </c>
    </row>
    <row r="26" spans="1:8" s="6" customFormat="1" ht="20.25">
      <c r="A26" s="16" t="s">
        <v>70</v>
      </c>
      <c r="B26" s="17" t="s">
        <v>174</v>
      </c>
      <c r="C26" s="18">
        <v>10</v>
      </c>
      <c r="D26" s="18">
        <v>10</v>
      </c>
      <c r="F26" s="27" t="s">
        <v>14</v>
      </c>
      <c r="G26" s="28">
        <v>12</v>
      </c>
      <c r="H26" s="28">
        <v>12</v>
      </c>
    </row>
    <row r="27" spans="1:8" s="6" customFormat="1" ht="56.25">
      <c r="A27" s="16" t="s">
        <v>71</v>
      </c>
      <c r="B27" s="17" t="s">
        <v>28</v>
      </c>
      <c r="C27" s="18">
        <v>20</v>
      </c>
      <c r="D27" s="18">
        <v>20</v>
      </c>
      <c r="F27" s="27" t="s">
        <v>69</v>
      </c>
      <c r="G27" s="28">
        <v>10</v>
      </c>
      <c r="H27" s="28">
        <v>10</v>
      </c>
    </row>
    <row r="28" spans="1:8" s="6" customFormat="1" ht="56.25">
      <c r="A28" s="16" t="s">
        <v>72</v>
      </c>
      <c r="B28" s="17" t="s">
        <v>175</v>
      </c>
      <c r="C28" s="18">
        <v>60</v>
      </c>
      <c r="D28" s="18">
        <v>60</v>
      </c>
      <c r="F28" s="27" t="s">
        <v>70</v>
      </c>
      <c r="G28" s="28">
        <v>10</v>
      </c>
      <c r="H28" s="28">
        <v>10</v>
      </c>
    </row>
    <row r="29" spans="1:8" s="6" customFormat="1" ht="56.25">
      <c r="A29" s="16" t="s">
        <v>73</v>
      </c>
      <c r="B29" s="17" t="s">
        <v>29</v>
      </c>
      <c r="C29" s="18">
        <v>9</v>
      </c>
      <c r="D29" s="18">
        <v>9</v>
      </c>
      <c r="F29" s="27" t="s">
        <v>71</v>
      </c>
      <c r="G29" s="28">
        <v>20</v>
      </c>
      <c r="H29" s="28">
        <v>20</v>
      </c>
    </row>
    <row r="30" spans="1:8" s="6" customFormat="1" ht="56.25">
      <c r="A30" s="16" t="s">
        <v>74</v>
      </c>
      <c r="B30" s="17" t="s">
        <v>169</v>
      </c>
      <c r="C30" s="18">
        <v>35</v>
      </c>
      <c r="D30" s="18">
        <v>35</v>
      </c>
      <c r="F30" s="27" t="s">
        <v>72</v>
      </c>
      <c r="G30" s="28">
        <v>60</v>
      </c>
      <c r="H30" s="28">
        <v>60</v>
      </c>
    </row>
    <row r="31" spans="1:8" s="6" customFormat="1" ht="93.75">
      <c r="A31" s="16" t="s">
        <v>75</v>
      </c>
      <c r="B31" s="17" t="s">
        <v>176</v>
      </c>
      <c r="C31" s="18">
        <v>10</v>
      </c>
      <c r="D31" s="18">
        <v>10</v>
      </c>
      <c r="F31" s="27" t="s">
        <v>73</v>
      </c>
      <c r="G31" s="28">
        <v>9</v>
      </c>
      <c r="H31" s="28">
        <v>9</v>
      </c>
    </row>
    <row r="32" spans="1:8" s="6" customFormat="1" ht="93.75">
      <c r="A32" s="16" t="s">
        <v>76</v>
      </c>
      <c r="B32" s="17" t="s">
        <v>177</v>
      </c>
      <c r="C32" s="18">
        <v>4</v>
      </c>
      <c r="D32" s="18">
        <v>4</v>
      </c>
      <c r="F32" s="27" t="s">
        <v>74</v>
      </c>
      <c r="G32" s="28">
        <v>35</v>
      </c>
      <c r="H32" s="28">
        <v>35</v>
      </c>
    </row>
    <row r="33" spans="1:8" s="6" customFormat="1" ht="93.75">
      <c r="A33" s="16" t="s">
        <v>77</v>
      </c>
      <c r="B33" s="17" t="s">
        <v>178</v>
      </c>
      <c r="C33" s="18">
        <v>4</v>
      </c>
      <c r="D33" s="18">
        <v>4</v>
      </c>
      <c r="F33" s="27" t="s">
        <v>75</v>
      </c>
      <c r="G33" s="28">
        <v>10</v>
      </c>
      <c r="H33" s="28">
        <v>10</v>
      </c>
    </row>
    <row r="34" spans="1:8" s="6" customFormat="1" ht="56.25">
      <c r="A34" s="16" t="s">
        <v>78</v>
      </c>
      <c r="B34" s="17" t="s">
        <v>28</v>
      </c>
      <c r="C34" s="18">
        <v>10</v>
      </c>
      <c r="D34" s="18">
        <v>10</v>
      </c>
      <c r="F34" s="27" t="s">
        <v>76</v>
      </c>
      <c r="G34" s="28">
        <v>4</v>
      </c>
      <c r="H34" s="28">
        <v>4</v>
      </c>
    </row>
    <row r="35" spans="1:8" s="6" customFormat="1" ht="56.25">
      <c r="A35" s="16" t="s">
        <v>79</v>
      </c>
      <c r="B35" s="17" t="s">
        <v>29</v>
      </c>
      <c r="C35" s="18">
        <v>9</v>
      </c>
      <c r="D35" s="18">
        <v>9</v>
      </c>
      <c r="F35" s="27" t="s">
        <v>77</v>
      </c>
      <c r="G35" s="28">
        <v>4</v>
      </c>
      <c r="H35" s="28">
        <v>4</v>
      </c>
    </row>
    <row r="36" spans="1:8" s="6" customFormat="1" ht="56.25">
      <c r="A36" s="16" t="s">
        <v>80</v>
      </c>
      <c r="B36" s="17" t="s">
        <v>30</v>
      </c>
      <c r="C36" s="18">
        <v>10</v>
      </c>
      <c r="D36" s="18">
        <v>10</v>
      </c>
      <c r="F36" s="27" t="s">
        <v>78</v>
      </c>
      <c r="G36" s="28">
        <v>10</v>
      </c>
      <c r="H36" s="28">
        <v>10</v>
      </c>
    </row>
    <row r="37" spans="1:8" s="6" customFormat="1" ht="56.25">
      <c r="A37" s="16" t="s">
        <v>81</v>
      </c>
      <c r="B37" s="17" t="s">
        <v>179</v>
      </c>
      <c r="C37" s="18">
        <v>32</v>
      </c>
      <c r="D37" s="18">
        <v>32</v>
      </c>
      <c r="F37" s="27" t="s">
        <v>79</v>
      </c>
      <c r="G37" s="28">
        <v>9</v>
      </c>
      <c r="H37" s="28">
        <v>9</v>
      </c>
    </row>
    <row r="38" spans="1:8" s="6" customFormat="1" ht="75">
      <c r="A38" s="16" t="s">
        <v>82</v>
      </c>
      <c r="B38" s="17" t="s">
        <v>180</v>
      </c>
      <c r="C38" s="18">
        <v>8</v>
      </c>
      <c r="D38" s="18">
        <v>8</v>
      </c>
      <c r="F38" s="27" t="s">
        <v>80</v>
      </c>
      <c r="G38" s="28">
        <v>10</v>
      </c>
      <c r="H38" s="28">
        <v>10</v>
      </c>
    </row>
    <row r="39" spans="1:8" s="6" customFormat="1" ht="56.25">
      <c r="A39" s="12" t="s">
        <v>83</v>
      </c>
      <c r="B39" s="17" t="s">
        <v>181</v>
      </c>
      <c r="C39" s="13">
        <v>7</v>
      </c>
      <c r="D39" s="13">
        <v>7</v>
      </c>
      <c r="F39" s="27" t="s">
        <v>81</v>
      </c>
      <c r="G39" s="28">
        <v>32</v>
      </c>
      <c r="H39" s="28">
        <v>32</v>
      </c>
    </row>
    <row r="40" spans="1:8" s="6" customFormat="1" ht="75">
      <c r="A40" s="12" t="s">
        <v>84</v>
      </c>
      <c r="B40" s="17" t="s">
        <v>182</v>
      </c>
      <c r="C40" s="13">
        <v>28</v>
      </c>
      <c r="D40" s="13">
        <v>28</v>
      </c>
      <c r="F40" s="27" t="s">
        <v>82</v>
      </c>
      <c r="G40" s="28">
        <v>8</v>
      </c>
      <c r="H40" s="28">
        <v>8</v>
      </c>
    </row>
    <row r="41" spans="1:8" s="6" customFormat="1" ht="75">
      <c r="A41" s="12" t="s">
        <v>15</v>
      </c>
      <c r="B41" s="17" t="s">
        <v>183</v>
      </c>
      <c r="C41" s="13">
        <v>24</v>
      </c>
      <c r="D41" s="13">
        <v>24</v>
      </c>
      <c r="F41" s="27" t="s">
        <v>83</v>
      </c>
      <c r="G41" s="28">
        <v>7</v>
      </c>
      <c r="H41" s="28">
        <v>7</v>
      </c>
    </row>
    <row r="42" spans="1:8" s="6" customFormat="1" ht="75">
      <c r="A42" s="12" t="s">
        <v>16</v>
      </c>
      <c r="B42" s="17" t="s">
        <v>184</v>
      </c>
      <c r="C42" s="13">
        <v>20</v>
      </c>
      <c r="D42" s="13">
        <v>20</v>
      </c>
      <c r="F42" s="27" t="s">
        <v>84</v>
      </c>
      <c r="G42" s="28">
        <v>28</v>
      </c>
      <c r="H42" s="28">
        <v>28</v>
      </c>
    </row>
    <row r="43" spans="1:8" s="6" customFormat="1" ht="75">
      <c r="A43" s="12" t="s">
        <v>17</v>
      </c>
      <c r="B43" s="17" t="s">
        <v>185</v>
      </c>
      <c r="C43" s="13">
        <v>6</v>
      </c>
      <c r="D43" s="13">
        <v>6</v>
      </c>
      <c r="F43" s="27" t="s">
        <v>15</v>
      </c>
      <c r="G43" s="28">
        <v>24</v>
      </c>
      <c r="H43" s="28">
        <v>24</v>
      </c>
    </row>
    <row r="44" spans="1:8" s="6" customFormat="1" ht="75">
      <c r="A44" s="12" t="s">
        <v>85</v>
      </c>
      <c r="B44" s="17" t="s">
        <v>186</v>
      </c>
      <c r="C44" s="13">
        <v>4</v>
      </c>
      <c r="D44" s="13">
        <v>4</v>
      </c>
      <c r="F44" s="27" t="s">
        <v>16</v>
      </c>
      <c r="G44" s="28">
        <v>20</v>
      </c>
      <c r="H44" s="28">
        <v>20</v>
      </c>
    </row>
    <row r="45" spans="1:8" s="6" customFormat="1" ht="75">
      <c r="A45" s="12" t="s">
        <v>86</v>
      </c>
      <c r="B45" s="17" t="s">
        <v>187</v>
      </c>
      <c r="C45" s="13">
        <v>4</v>
      </c>
      <c r="D45" s="13">
        <v>4</v>
      </c>
      <c r="F45" s="27" t="s">
        <v>17</v>
      </c>
      <c r="G45" s="28">
        <v>6</v>
      </c>
      <c r="H45" s="28">
        <v>6</v>
      </c>
    </row>
    <row r="46" spans="1:8" s="6" customFormat="1" ht="75">
      <c r="A46" s="12" t="s">
        <v>87</v>
      </c>
      <c r="B46" s="17" t="s">
        <v>188</v>
      </c>
      <c r="C46" s="13">
        <v>40</v>
      </c>
      <c r="D46" s="13">
        <v>40</v>
      </c>
      <c r="F46" s="27" t="s">
        <v>85</v>
      </c>
      <c r="G46" s="28">
        <v>4</v>
      </c>
      <c r="H46" s="28">
        <v>4</v>
      </c>
    </row>
    <row r="47" spans="1:8" s="6" customFormat="1" ht="56.25">
      <c r="A47" s="12" t="s">
        <v>18</v>
      </c>
      <c r="B47" s="17" t="s">
        <v>35</v>
      </c>
      <c r="C47" s="13">
        <v>5</v>
      </c>
      <c r="D47" s="13">
        <v>5</v>
      </c>
      <c r="F47" s="27" t="s">
        <v>86</v>
      </c>
      <c r="G47" s="28">
        <v>4</v>
      </c>
      <c r="H47" s="28">
        <v>4</v>
      </c>
    </row>
    <row r="48" spans="1:8" s="6" customFormat="1" ht="75">
      <c r="A48" s="12" t="s">
        <v>88</v>
      </c>
      <c r="B48" s="17" t="s">
        <v>189</v>
      </c>
      <c r="C48" s="13">
        <v>6</v>
      </c>
      <c r="D48" s="13">
        <v>6</v>
      </c>
      <c r="F48" s="27" t="s">
        <v>87</v>
      </c>
      <c r="G48" s="28">
        <v>40</v>
      </c>
      <c r="H48" s="28">
        <v>40</v>
      </c>
    </row>
    <row r="49" spans="1:8" s="6" customFormat="1" ht="93.75">
      <c r="A49" s="12" t="s">
        <v>19</v>
      </c>
      <c r="B49" s="17" t="s">
        <v>36</v>
      </c>
      <c r="C49" s="13">
        <v>10</v>
      </c>
      <c r="D49" s="13">
        <v>10</v>
      </c>
      <c r="F49" s="27" t="s">
        <v>18</v>
      </c>
      <c r="G49" s="28">
        <v>5</v>
      </c>
      <c r="H49" s="28">
        <v>5</v>
      </c>
    </row>
    <row r="50" spans="1:8" s="6" customFormat="1" ht="56.25">
      <c r="A50" s="12" t="s">
        <v>89</v>
      </c>
      <c r="B50" s="17" t="s">
        <v>190</v>
      </c>
      <c r="C50" s="13">
        <v>1</v>
      </c>
      <c r="D50" s="13">
        <v>1</v>
      </c>
      <c r="F50" s="27" t="s">
        <v>88</v>
      </c>
      <c r="G50" s="28">
        <v>6</v>
      </c>
      <c r="H50" s="28">
        <v>6</v>
      </c>
    </row>
    <row r="51" spans="1:8" s="6" customFormat="1" ht="93.75">
      <c r="A51" s="12" t="s">
        <v>90</v>
      </c>
      <c r="B51" s="17" t="s">
        <v>191</v>
      </c>
      <c r="C51" s="13">
        <v>100</v>
      </c>
      <c r="D51" s="13">
        <v>100</v>
      </c>
      <c r="F51" s="27" t="s">
        <v>19</v>
      </c>
      <c r="G51" s="28">
        <v>10</v>
      </c>
      <c r="H51" s="28">
        <v>10</v>
      </c>
    </row>
    <row r="52" spans="1:8" s="6" customFormat="1" ht="37.5">
      <c r="A52" s="12" t="s">
        <v>20</v>
      </c>
      <c r="B52" s="17" t="s">
        <v>37</v>
      </c>
      <c r="C52" s="13">
        <v>100</v>
      </c>
      <c r="D52" s="13">
        <v>100</v>
      </c>
      <c r="F52" s="27" t="s">
        <v>89</v>
      </c>
      <c r="G52" s="28">
        <v>1</v>
      </c>
      <c r="H52" s="28">
        <v>1</v>
      </c>
    </row>
    <row r="53" spans="1:8" s="6" customFormat="1" ht="93.75">
      <c r="A53" s="12" t="s">
        <v>91</v>
      </c>
      <c r="B53" s="17" t="s">
        <v>192</v>
      </c>
      <c r="C53" s="13">
        <v>10</v>
      </c>
      <c r="D53" s="13">
        <v>10</v>
      </c>
      <c r="F53" s="27" t="s">
        <v>90</v>
      </c>
      <c r="G53" s="28">
        <v>100</v>
      </c>
      <c r="H53" s="28">
        <v>100</v>
      </c>
    </row>
    <row r="54" spans="1:8" s="6" customFormat="1" ht="93.75">
      <c r="A54" s="12" t="s">
        <v>92</v>
      </c>
      <c r="B54" s="17" t="s">
        <v>193</v>
      </c>
      <c r="C54" s="13">
        <v>54</v>
      </c>
      <c r="D54" s="13">
        <v>54</v>
      </c>
      <c r="F54" s="27" t="s">
        <v>20</v>
      </c>
      <c r="G54" s="28">
        <v>100</v>
      </c>
      <c r="H54" s="28">
        <v>100</v>
      </c>
    </row>
    <row r="55" spans="1:8" s="6" customFormat="1" ht="93.75">
      <c r="A55" s="12" t="s">
        <v>93</v>
      </c>
      <c r="B55" s="17" t="s">
        <v>194</v>
      </c>
      <c r="C55" s="13">
        <v>26</v>
      </c>
      <c r="D55" s="13">
        <v>26</v>
      </c>
      <c r="F55" s="27" t="s">
        <v>91</v>
      </c>
      <c r="G55" s="28">
        <v>10</v>
      </c>
      <c r="H55" s="28">
        <v>10</v>
      </c>
    </row>
    <row r="56" spans="1:8" s="6" customFormat="1" ht="75">
      <c r="A56" s="12" t="s">
        <v>94</v>
      </c>
      <c r="B56" s="17" t="s">
        <v>38</v>
      </c>
      <c r="C56" s="13">
        <v>10</v>
      </c>
      <c r="D56" s="13">
        <v>10</v>
      </c>
      <c r="F56" s="27" t="s">
        <v>92</v>
      </c>
      <c r="G56" s="28">
        <v>54</v>
      </c>
      <c r="H56" s="28">
        <v>54</v>
      </c>
    </row>
    <row r="57" spans="1:8" s="6" customFormat="1" ht="112.5">
      <c r="A57" s="12" t="s">
        <v>95</v>
      </c>
      <c r="B57" s="17" t="s">
        <v>195</v>
      </c>
      <c r="C57" s="13">
        <v>5</v>
      </c>
      <c r="D57" s="13">
        <v>5</v>
      </c>
      <c r="F57" s="27" t="s">
        <v>93</v>
      </c>
      <c r="G57" s="28">
        <v>26</v>
      </c>
      <c r="H57" s="28">
        <v>26</v>
      </c>
    </row>
    <row r="58" spans="1:8" s="6" customFormat="1" ht="112.5">
      <c r="A58" s="12" t="s">
        <v>96</v>
      </c>
      <c r="B58" s="17" t="s">
        <v>196</v>
      </c>
      <c r="C58" s="13">
        <v>5</v>
      </c>
      <c r="D58" s="13">
        <v>5</v>
      </c>
      <c r="F58" s="27" t="s">
        <v>94</v>
      </c>
      <c r="G58" s="28">
        <v>10</v>
      </c>
      <c r="H58" s="28">
        <v>10</v>
      </c>
    </row>
    <row r="59" spans="1:8" s="6" customFormat="1" ht="56.25">
      <c r="A59" s="12" t="s">
        <v>21</v>
      </c>
      <c r="B59" s="17" t="s">
        <v>39</v>
      </c>
      <c r="C59" s="13">
        <v>6</v>
      </c>
      <c r="D59" s="13">
        <v>6</v>
      </c>
      <c r="F59" s="27" t="s">
        <v>95</v>
      </c>
      <c r="G59" s="28">
        <v>5</v>
      </c>
      <c r="H59" s="28">
        <v>5</v>
      </c>
    </row>
    <row r="60" spans="1:8" s="6" customFormat="1" ht="56.25">
      <c r="A60" s="12" t="s">
        <v>3</v>
      </c>
      <c r="B60" s="17" t="s">
        <v>40</v>
      </c>
      <c r="C60" s="13">
        <v>5</v>
      </c>
      <c r="D60" s="13">
        <v>5</v>
      </c>
      <c r="F60" s="27" t="s">
        <v>96</v>
      </c>
      <c r="G60" s="28">
        <v>5</v>
      </c>
      <c r="H60" s="28">
        <v>5</v>
      </c>
    </row>
    <row r="61" spans="1:8" s="6" customFormat="1" ht="56.25">
      <c r="A61" s="12" t="s">
        <v>97</v>
      </c>
      <c r="B61" s="17" t="s">
        <v>197</v>
      </c>
      <c r="C61" s="13">
        <v>1</v>
      </c>
      <c r="D61" s="13">
        <v>1</v>
      </c>
      <c r="F61" s="27" t="s">
        <v>21</v>
      </c>
      <c r="G61" s="28">
        <v>6</v>
      </c>
      <c r="H61" s="28">
        <v>6</v>
      </c>
    </row>
    <row r="62" spans="1:8" s="6" customFormat="1" ht="56.25">
      <c r="A62" s="12" t="s">
        <v>98</v>
      </c>
      <c r="B62" s="17" t="s">
        <v>198</v>
      </c>
      <c r="C62" s="13">
        <v>20</v>
      </c>
      <c r="D62" s="13">
        <v>20</v>
      </c>
      <c r="F62" s="27" t="s">
        <v>3</v>
      </c>
      <c r="G62" s="28">
        <v>5</v>
      </c>
      <c r="H62" s="28">
        <v>5</v>
      </c>
    </row>
    <row r="63" spans="1:8" s="6" customFormat="1" ht="56.25">
      <c r="A63" s="12" t="s">
        <v>99</v>
      </c>
      <c r="B63" s="17" t="s">
        <v>199</v>
      </c>
      <c r="C63" s="13">
        <v>15</v>
      </c>
      <c r="D63" s="13">
        <v>15</v>
      </c>
      <c r="F63" s="27" t="s">
        <v>97</v>
      </c>
      <c r="G63" s="28">
        <v>1</v>
      </c>
      <c r="H63" s="28">
        <v>1</v>
      </c>
    </row>
    <row r="64" spans="1:8" s="6" customFormat="1" ht="56.25">
      <c r="A64" s="12" t="s">
        <v>100</v>
      </c>
      <c r="B64" s="17" t="s">
        <v>200</v>
      </c>
      <c r="C64" s="13">
        <v>18</v>
      </c>
      <c r="D64" s="13">
        <v>18</v>
      </c>
      <c r="F64" s="27" t="s">
        <v>98</v>
      </c>
      <c r="G64" s="28">
        <v>20</v>
      </c>
      <c r="H64" s="28">
        <v>20</v>
      </c>
    </row>
    <row r="65" spans="1:8" s="6" customFormat="1" ht="56.25">
      <c r="A65" s="12" t="s">
        <v>101</v>
      </c>
      <c r="B65" s="17" t="s">
        <v>201</v>
      </c>
      <c r="C65" s="13">
        <v>2</v>
      </c>
      <c r="D65" s="13">
        <v>2</v>
      </c>
      <c r="F65" s="27" t="s">
        <v>99</v>
      </c>
      <c r="G65" s="28">
        <v>15</v>
      </c>
      <c r="H65" s="28">
        <v>15</v>
      </c>
    </row>
    <row r="66" spans="1:8" s="6" customFormat="1" ht="56.25">
      <c r="A66" s="12" t="s">
        <v>102</v>
      </c>
      <c r="B66" s="17" t="s">
        <v>202</v>
      </c>
      <c r="C66" s="13">
        <v>5</v>
      </c>
      <c r="D66" s="13">
        <v>5</v>
      </c>
      <c r="F66" s="27" t="s">
        <v>100</v>
      </c>
      <c r="G66" s="28">
        <v>18</v>
      </c>
      <c r="H66" s="28">
        <v>18</v>
      </c>
    </row>
    <row r="67" spans="1:8" s="6" customFormat="1" ht="56.25">
      <c r="A67" s="12" t="s">
        <v>103</v>
      </c>
      <c r="B67" s="17" t="s">
        <v>203</v>
      </c>
      <c r="C67" s="13">
        <v>30</v>
      </c>
      <c r="D67" s="13">
        <v>30</v>
      </c>
      <c r="F67" s="27" t="s">
        <v>101</v>
      </c>
      <c r="G67" s="28">
        <v>2</v>
      </c>
      <c r="H67" s="28">
        <v>2</v>
      </c>
    </row>
    <row r="68" spans="1:8" s="6" customFormat="1" ht="37.5">
      <c r="A68" s="19" t="s">
        <v>104</v>
      </c>
      <c r="B68" s="20" t="s">
        <v>204</v>
      </c>
      <c r="C68" s="21">
        <v>80</v>
      </c>
      <c r="D68" s="21">
        <v>77</v>
      </c>
      <c r="F68" s="27" t="s">
        <v>102</v>
      </c>
      <c r="G68" s="28">
        <v>5</v>
      </c>
      <c r="H68" s="28">
        <v>5</v>
      </c>
    </row>
    <row r="69" spans="1:8" s="6" customFormat="1" ht="37.5">
      <c r="A69" s="12" t="s">
        <v>105</v>
      </c>
      <c r="B69" s="17" t="s">
        <v>205</v>
      </c>
      <c r="C69" s="13">
        <v>70</v>
      </c>
      <c r="D69" s="13">
        <v>70</v>
      </c>
      <c r="F69" s="27" t="s">
        <v>103</v>
      </c>
      <c r="G69" s="28">
        <v>30</v>
      </c>
      <c r="H69" s="28">
        <v>30</v>
      </c>
    </row>
    <row r="70" spans="1:8" s="6" customFormat="1" ht="131.25">
      <c r="A70" s="12" t="s">
        <v>106</v>
      </c>
      <c r="B70" s="17" t="s">
        <v>206</v>
      </c>
      <c r="C70" s="13">
        <v>1</v>
      </c>
      <c r="D70" s="13">
        <v>1</v>
      </c>
      <c r="F70" s="27" t="s">
        <v>104</v>
      </c>
      <c r="G70" s="28">
        <v>80</v>
      </c>
      <c r="H70" s="28">
        <v>77</v>
      </c>
    </row>
    <row r="71" spans="1:8" s="6" customFormat="1" ht="112.5">
      <c r="A71" s="12" t="s">
        <v>107</v>
      </c>
      <c r="B71" s="17" t="s">
        <v>207</v>
      </c>
      <c r="C71" s="13">
        <v>1</v>
      </c>
      <c r="D71" s="13">
        <v>1</v>
      </c>
      <c r="F71" s="27" t="s">
        <v>105</v>
      </c>
      <c r="G71" s="28">
        <v>70</v>
      </c>
      <c r="H71" s="28">
        <v>70</v>
      </c>
    </row>
    <row r="72" spans="1:8" s="6" customFormat="1" ht="112.5">
      <c r="A72" s="12" t="s">
        <v>108</v>
      </c>
      <c r="B72" s="17" t="s">
        <v>208</v>
      </c>
      <c r="C72" s="13">
        <v>3</v>
      </c>
      <c r="D72" s="13">
        <v>3</v>
      </c>
      <c r="F72" s="27" t="s">
        <v>106</v>
      </c>
      <c r="G72" s="28">
        <v>1</v>
      </c>
      <c r="H72" s="28">
        <v>1</v>
      </c>
    </row>
    <row r="73" spans="1:8" s="6" customFormat="1" ht="93.75">
      <c r="A73" s="12" t="s">
        <v>109</v>
      </c>
      <c r="B73" s="17" t="s">
        <v>209</v>
      </c>
      <c r="C73" s="13">
        <v>5</v>
      </c>
      <c r="D73" s="13">
        <v>5</v>
      </c>
      <c r="F73" s="27" t="s">
        <v>107</v>
      </c>
      <c r="G73" s="28">
        <v>1</v>
      </c>
      <c r="H73" s="28">
        <v>1</v>
      </c>
    </row>
    <row r="74" spans="1:8" s="6" customFormat="1" ht="56.25">
      <c r="A74" s="12" t="s">
        <v>4</v>
      </c>
      <c r="B74" s="17" t="s">
        <v>41</v>
      </c>
      <c r="C74" s="13">
        <v>80</v>
      </c>
      <c r="D74" s="13">
        <v>80</v>
      </c>
      <c r="F74" s="27" t="s">
        <v>108</v>
      </c>
      <c r="G74" s="28">
        <v>3</v>
      </c>
      <c r="H74" s="28">
        <v>3</v>
      </c>
    </row>
    <row r="75" spans="1:8" s="6" customFormat="1" ht="75">
      <c r="A75" s="12" t="s">
        <v>110</v>
      </c>
      <c r="B75" s="17" t="s">
        <v>210</v>
      </c>
      <c r="C75" s="13">
        <v>600</v>
      </c>
      <c r="D75" s="13">
        <v>600</v>
      </c>
      <c r="F75" s="27" t="s">
        <v>109</v>
      </c>
      <c r="G75" s="28">
        <v>5</v>
      </c>
      <c r="H75" s="28">
        <v>5</v>
      </c>
    </row>
    <row r="76" spans="1:8" s="6" customFormat="1" ht="56.25">
      <c r="A76" s="12" t="s">
        <v>5</v>
      </c>
      <c r="B76" s="17" t="s">
        <v>42</v>
      </c>
      <c r="C76" s="13">
        <v>1400</v>
      </c>
      <c r="D76" s="13">
        <v>1400</v>
      </c>
      <c r="F76" s="27" t="s">
        <v>4</v>
      </c>
      <c r="G76" s="28">
        <v>80</v>
      </c>
      <c r="H76" s="28">
        <v>80</v>
      </c>
    </row>
    <row r="77" spans="1:8" s="6" customFormat="1" ht="75">
      <c r="A77" s="12" t="s">
        <v>111</v>
      </c>
      <c r="B77" s="17" t="s">
        <v>211</v>
      </c>
      <c r="C77" s="13">
        <v>480</v>
      </c>
      <c r="D77" s="13">
        <v>480</v>
      </c>
      <c r="F77" s="27" t="s">
        <v>110</v>
      </c>
      <c r="G77" s="28">
        <v>600</v>
      </c>
      <c r="H77" s="28">
        <v>600</v>
      </c>
    </row>
    <row r="78" spans="1:8" s="6" customFormat="1" ht="56.25">
      <c r="A78" s="12" t="s">
        <v>112</v>
      </c>
      <c r="B78" s="17" t="s">
        <v>212</v>
      </c>
      <c r="C78" s="13">
        <v>540</v>
      </c>
      <c r="D78" s="13">
        <v>540</v>
      </c>
      <c r="F78" s="27" t="s">
        <v>5</v>
      </c>
      <c r="G78" s="28">
        <v>1400</v>
      </c>
      <c r="H78" s="28">
        <v>1400</v>
      </c>
    </row>
    <row r="79" spans="1:8" s="6" customFormat="1" ht="56.25">
      <c r="A79" s="12" t="s">
        <v>6</v>
      </c>
      <c r="B79" s="17" t="s">
        <v>43</v>
      </c>
      <c r="C79" s="13">
        <v>960</v>
      </c>
      <c r="D79" s="13">
        <v>960</v>
      </c>
      <c r="F79" s="27" t="s">
        <v>111</v>
      </c>
      <c r="G79" s="28">
        <v>480</v>
      </c>
      <c r="H79" s="28">
        <v>480</v>
      </c>
    </row>
    <row r="80" spans="1:8" s="6" customFormat="1" ht="56.25">
      <c r="A80" s="12" t="s">
        <v>7</v>
      </c>
      <c r="B80" s="17" t="s">
        <v>44</v>
      </c>
      <c r="C80" s="13">
        <v>160</v>
      </c>
      <c r="D80" s="13">
        <v>160</v>
      </c>
      <c r="F80" s="27" t="s">
        <v>112</v>
      </c>
      <c r="G80" s="28">
        <v>540</v>
      </c>
      <c r="H80" s="28">
        <v>540</v>
      </c>
    </row>
    <row r="81" spans="1:8" s="6" customFormat="1" ht="56.25">
      <c r="A81" s="12" t="s">
        <v>113</v>
      </c>
      <c r="B81" s="17" t="s">
        <v>213</v>
      </c>
      <c r="C81" s="13">
        <v>1820</v>
      </c>
      <c r="D81" s="13">
        <v>1820</v>
      </c>
      <c r="F81" s="27" t="s">
        <v>6</v>
      </c>
      <c r="G81" s="28">
        <v>960</v>
      </c>
      <c r="H81" s="28">
        <v>960</v>
      </c>
    </row>
    <row r="82" spans="1:8" s="6" customFormat="1" ht="75">
      <c r="A82" s="12" t="s">
        <v>114</v>
      </c>
      <c r="B82" s="17" t="s">
        <v>214</v>
      </c>
      <c r="C82" s="13">
        <v>288</v>
      </c>
      <c r="D82" s="13">
        <v>288</v>
      </c>
      <c r="F82" s="27" t="s">
        <v>7</v>
      </c>
      <c r="G82" s="28">
        <v>160</v>
      </c>
      <c r="H82" s="28">
        <v>160</v>
      </c>
    </row>
    <row r="83" spans="1:8" s="6" customFormat="1" ht="56.25">
      <c r="A83" s="12" t="s">
        <v>115</v>
      </c>
      <c r="B83" s="17" t="s">
        <v>215</v>
      </c>
      <c r="C83" s="13">
        <v>432</v>
      </c>
      <c r="D83" s="13">
        <v>432</v>
      </c>
      <c r="F83" s="27" t="s">
        <v>113</v>
      </c>
      <c r="G83" s="28">
        <v>1820</v>
      </c>
      <c r="H83" s="28">
        <v>1820</v>
      </c>
    </row>
    <row r="84" spans="1:8" s="6" customFormat="1" ht="56.25">
      <c r="A84" s="12" t="s">
        <v>8</v>
      </c>
      <c r="B84" s="17" t="s">
        <v>45</v>
      </c>
      <c r="C84" s="13">
        <v>864</v>
      </c>
      <c r="D84" s="13">
        <v>864</v>
      </c>
      <c r="F84" s="27" t="s">
        <v>114</v>
      </c>
      <c r="G84" s="28">
        <v>288</v>
      </c>
      <c r="H84" s="28">
        <v>288</v>
      </c>
    </row>
    <row r="85" spans="1:8" s="6" customFormat="1" ht="75">
      <c r="A85" s="12" t="s">
        <v>116</v>
      </c>
      <c r="B85" s="17" t="s">
        <v>216</v>
      </c>
      <c r="C85" s="13">
        <v>384</v>
      </c>
      <c r="D85" s="13">
        <v>384</v>
      </c>
      <c r="F85" s="27" t="s">
        <v>115</v>
      </c>
      <c r="G85" s="28">
        <v>432</v>
      </c>
      <c r="H85" s="28">
        <v>432</v>
      </c>
    </row>
    <row r="86" spans="1:8" s="6" customFormat="1" ht="56.25">
      <c r="A86" s="12" t="s">
        <v>22</v>
      </c>
      <c r="B86" s="17" t="s">
        <v>46</v>
      </c>
      <c r="C86" s="13">
        <v>480</v>
      </c>
      <c r="D86" s="13">
        <v>480</v>
      </c>
      <c r="F86" s="27" t="s">
        <v>8</v>
      </c>
      <c r="G86" s="28">
        <v>864</v>
      </c>
      <c r="H86" s="28">
        <v>864</v>
      </c>
    </row>
    <row r="87" spans="1:8" s="6" customFormat="1" ht="56.25">
      <c r="A87" s="12" t="s">
        <v>9</v>
      </c>
      <c r="B87" s="17" t="s">
        <v>47</v>
      </c>
      <c r="C87" s="13">
        <v>648</v>
      </c>
      <c r="D87" s="13">
        <v>648</v>
      </c>
      <c r="F87" s="27" t="s">
        <v>116</v>
      </c>
      <c r="G87" s="28">
        <v>384</v>
      </c>
      <c r="H87" s="28">
        <v>384</v>
      </c>
    </row>
    <row r="88" spans="1:8" s="6" customFormat="1" ht="75">
      <c r="A88" s="12" t="s">
        <v>23</v>
      </c>
      <c r="B88" s="17" t="s">
        <v>217</v>
      </c>
      <c r="C88" s="13">
        <v>640</v>
      </c>
      <c r="D88" s="13">
        <v>640</v>
      </c>
      <c r="F88" s="27" t="s">
        <v>22</v>
      </c>
      <c r="G88" s="28">
        <v>480</v>
      </c>
      <c r="H88" s="28">
        <v>480</v>
      </c>
    </row>
    <row r="89" spans="1:8" s="6" customFormat="1" ht="56.25">
      <c r="A89" s="12" t="s">
        <v>10</v>
      </c>
      <c r="B89" s="17" t="s">
        <v>48</v>
      </c>
      <c r="C89" s="13">
        <v>96</v>
      </c>
      <c r="D89" s="13">
        <v>96</v>
      </c>
      <c r="F89" s="27" t="s">
        <v>9</v>
      </c>
      <c r="G89" s="28">
        <v>648</v>
      </c>
      <c r="H89" s="28">
        <v>648</v>
      </c>
    </row>
    <row r="90" spans="1:8" s="6" customFormat="1" ht="56.25">
      <c r="A90" s="12" t="s">
        <v>24</v>
      </c>
      <c r="B90" s="17" t="s">
        <v>49</v>
      </c>
      <c r="C90" s="13">
        <v>192</v>
      </c>
      <c r="D90" s="13">
        <v>192</v>
      </c>
      <c r="F90" s="27" t="s">
        <v>23</v>
      </c>
      <c r="G90" s="28">
        <v>640</v>
      </c>
      <c r="H90" s="28">
        <v>640</v>
      </c>
    </row>
    <row r="91" spans="1:8" s="6" customFormat="1" ht="75">
      <c r="A91" s="12" t="s">
        <v>117</v>
      </c>
      <c r="B91" s="17" t="s">
        <v>218</v>
      </c>
      <c r="C91" s="13">
        <v>10</v>
      </c>
      <c r="D91" s="13">
        <v>10</v>
      </c>
      <c r="F91" s="27" t="s">
        <v>10</v>
      </c>
      <c r="G91" s="28">
        <v>96</v>
      </c>
      <c r="H91" s="28">
        <v>96</v>
      </c>
    </row>
    <row r="92" spans="1:8" s="6" customFormat="1" ht="75">
      <c r="A92" s="12" t="s">
        <v>118</v>
      </c>
      <c r="B92" s="17" t="s">
        <v>219</v>
      </c>
      <c r="C92" s="13">
        <v>10</v>
      </c>
      <c r="D92" s="13">
        <v>10</v>
      </c>
      <c r="F92" s="27" t="s">
        <v>24</v>
      </c>
      <c r="G92" s="28">
        <v>192</v>
      </c>
      <c r="H92" s="28">
        <v>192</v>
      </c>
    </row>
    <row r="93" spans="1:8" s="6" customFormat="1" ht="75">
      <c r="A93" s="12" t="s">
        <v>119</v>
      </c>
      <c r="B93" s="17" t="s">
        <v>220</v>
      </c>
      <c r="C93" s="13">
        <v>5</v>
      </c>
      <c r="D93" s="13">
        <v>5</v>
      </c>
      <c r="F93" s="27" t="s">
        <v>117</v>
      </c>
      <c r="G93" s="28">
        <v>10</v>
      </c>
      <c r="H93" s="28">
        <v>10</v>
      </c>
    </row>
    <row r="94" spans="1:8" s="6" customFormat="1" ht="75">
      <c r="A94" s="12" t="s">
        <v>120</v>
      </c>
      <c r="B94" s="17" t="s">
        <v>221</v>
      </c>
      <c r="C94" s="13">
        <v>5</v>
      </c>
      <c r="D94" s="13">
        <v>5</v>
      </c>
      <c r="F94" s="27" t="s">
        <v>118</v>
      </c>
      <c r="G94" s="28">
        <v>10</v>
      </c>
      <c r="H94" s="28">
        <v>10</v>
      </c>
    </row>
    <row r="95" spans="1:8" s="6" customFormat="1" ht="56.25">
      <c r="A95" s="16" t="s">
        <v>121</v>
      </c>
      <c r="B95" s="17" t="s">
        <v>222</v>
      </c>
      <c r="C95" s="18">
        <v>5</v>
      </c>
      <c r="D95" s="18">
        <v>5</v>
      </c>
      <c r="F95" s="27" t="s">
        <v>119</v>
      </c>
      <c r="G95" s="28">
        <v>5</v>
      </c>
      <c r="H95" s="28">
        <v>5</v>
      </c>
    </row>
    <row r="96" spans="1:8" s="6" customFormat="1" ht="56.25">
      <c r="A96" s="16" t="s">
        <v>122</v>
      </c>
      <c r="B96" s="17" t="s">
        <v>223</v>
      </c>
      <c r="C96" s="18">
        <v>5</v>
      </c>
      <c r="D96" s="18">
        <v>5</v>
      </c>
      <c r="F96" s="27" t="s">
        <v>120</v>
      </c>
      <c r="G96" s="28">
        <v>5</v>
      </c>
      <c r="H96" s="28">
        <v>5</v>
      </c>
    </row>
    <row r="97" spans="1:8" s="6" customFormat="1" ht="37.5">
      <c r="A97" s="16" t="s">
        <v>123</v>
      </c>
      <c r="B97" s="17" t="s">
        <v>224</v>
      </c>
      <c r="C97" s="18">
        <v>10</v>
      </c>
      <c r="D97" s="18">
        <v>10</v>
      </c>
      <c r="F97" s="27" t="s">
        <v>121</v>
      </c>
      <c r="G97" s="28">
        <v>5</v>
      </c>
      <c r="H97" s="28">
        <v>5</v>
      </c>
    </row>
    <row r="98" spans="1:8" s="6" customFormat="1" ht="37.5">
      <c r="A98" s="22" t="s">
        <v>124</v>
      </c>
      <c r="B98" s="20" t="s">
        <v>225</v>
      </c>
      <c r="C98" s="23">
        <v>5</v>
      </c>
      <c r="D98" s="23">
        <v>6</v>
      </c>
      <c r="F98" s="27" t="s">
        <v>122</v>
      </c>
      <c r="G98" s="28">
        <v>5</v>
      </c>
      <c r="H98" s="28">
        <v>5</v>
      </c>
    </row>
    <row r="99" spans="1:8" s="6" customFormat="1" ht="37.5">
      <c r="A99" s="22" t="s">
        <v>125</v>
      </c>
      <c r="B99" s="20" t="s">
        <v>226</v>
      </c>
      <c r="C99" s="23">
        <v>5</v>
      </c>
      <c r="D99" s="23">
        <v>4</v>
      </c>
      <c r="F99" s="27" t="s">
        <v>123</v>
      </c>
      <c r="G99" s="28">
        <v>10</v>
      </c>
      <c r="H99" s="28">
        <v>10</v>
      </c>
    </row>
    <row r="100" spans="1:8" s="6" customFormat="1" ht="37.5">
      <c r="A100" s="16" t="s">
        <v>126</v>
      </c>
      <c r="B100" s="17" t="s">
        <v>227</v>
      </c>
      <c r="C100" s="18">
        <v>5</v>
      </c>
      <c r="D100" s="18">
        <v>5</v>
      </c>
      <c r="F100" s="27" t="s">
        <v>124</v>
      </c>
      <c r="G100" s="28">
        <v>5</v>
      </c>
      <c r="H100" s="28">
        <v>6</v>
      </c>
    </row>
    <row r="101" spans="1:8" s="6" customFormat="1" ht="37.5">
      <c r="A101" s="16" t="s">
        <v>127</v>
      </c>
      <c r="B101" s="17" t="s">
        <v>228</v>
      </c>
      <c r="C101" s="18">
        <v>5</v>
      </c>
      <c r="D101" s="18">
        <v>5</v>
      </c>
      <c r="F101" s="27" t="s">
        <v>125</v>
      </c>
      <c r="G101" s="28">
        <v>5</v>
      </c>
      <c r="H101" s="28">
        <v>4</v>
      </c>
    </row>
    <row r="102" spans="1:8" s="6" customFormat="1" ht="37.5">
      <c r="A102" s="16" t="s">
        <v>128</v>
      </c>
      <c r="B102" s="17" t="s">
        <v>229</v>
      </c>
      <c r="C102" s="18">
        <v>5</v>
      </c>
      <c r="D102" s="18">
        <v>5</v>
      </c>
      <c r="F102" s="27" t="s">
        <v>126</v>
      </c>
      <c r="G102" s="28">
        <v>5</v>
      </c>
      <c r="H102" s="28">
        <v>5</v>
      </c>
    </row>
    <row r="103" spans="1:8" s="6" customFormat="1" ht="37.5">
      <c r="A103" s="16" t="s">
        <v>129</v>
      </c>
      <c r="B103" s="17" t="s">
        <v>230</v>
      </c>
      <c r="C103" s="18">
        <v>5</v>
      </c>
      <c r="D103" s="18">
        <v>5</v>
      </c>
      <c r="F103" s="27" t="s">
        <v>127</v>
      </c>
      <c r="G103" s="28">
        <v>5</v>
      </c>
      <c r="H103" s="28">
        <v>5</v>
      </c>
    </row>
    <row r="104" spans="1:8" s="6" customFormat="1" ht="56.25">
      <c r="A104" s="16" t="s">
        <v>130</v>
      </c>
      <c r="B104" s="17" t="s">
        <v>231</v>
      </c>
      <c r="C104" s="18">
        <v>10</v>
      </c>
      <c r="D104" s="18">
        <v>10</v>
      </c>
      <c r="F104" s="27" t="s">
        <v>128</v>
      </c>
      <c r="G104" s="28">
        <v>5</v>
      </c>
      <c r="H104" s="28">
        <v>5</v>
      </c>
    </row>
    <row r="105" spans="1:8" s="6" customFormat="1" ht="56.25">
      <c r="A105" s="16" t="s">
        <v>131</v>
      </c>
      <c r="B105" s="17" t="s">
        <v>232</v>
      </c>
      <c r="C105" s="18">
        <v>10</v>
      </c>
      <c r="D105" s="18">
        <v>10</v>
      </c>
      <c r="F105" s="27" t="s">
        <v>129</v>
      </c>
      <c r="G105" s="28">
        <v>5</v>
      </c>
      <c r="H105" s="28">
        <v>5</v>
      </c>
    </row>
    <row r="106" spans="1:8" s="6" customFormat="1" ht="56.25">
      <c r="A106" s="16" t="s">
        <v>132</v>
      </c>
      <c r="B106" s="17" t="s">
        <v>233</v>
      </c>
      <c r="C106" s="18">
        <v>5</v>
      </c>
      <c r="D106" s="18">
        <v>5</v>
      </c>
      <c r="F106" s="27" t="s">
        <v>130</v>
      </c>
      <c r="G106" s="28">
        <v>10</v>
      </c>
      <c r="H106" s="28">
        <v>10</v>
      </c>
    </row>
    <row r="107" spans="1:8" s="6" customFormat="1" ht="56.25">
      <c r="A107" s="16" t="s">
        <v>133</v>
      </c>
      <c r="B107" s="17" t="s">
        <v>234</v>
      </c>
      <c r="C107" s="18">
        <v>10</v>
      </c>
      <c r="D107" s="18">
        <v>10</v>
      </c>
      <c r="F107" s="27" t="s">
        <v>131</v>
      </c>
      <c r="G107" s="28">
        <v>10</v>
      </c>
      <c r="H107" s="28">
        <v>10</v>
      </c>
    </row>
    <row r="108" spans="1:8" s="6" customFormat="1" ht="56.25">
      <c r="A108" s="16" t="s">
        <v>134</v>
      </c>
      <c r="B108" s="17" t="s">
        <v>235</v>
      </c>
      <c r="C108" s="18">
        <v>5</v>
      </c>
      <c r="D108" s="18">
        <v>5</v>
      </c>
      <c r="F108" s="27" t="s">
        <v>132</v>
      </c>
      <c r="G108" s="28">
        <v>5</v>
      </c>
      <c r="H108" s="28">
        <v>5</v>
      </c>
    </row>
    <row r="109" spans="1:8" s="6" customFormat="1" ht="56.25">
      <c r="A109" s="16" t="s">
        <v>135</v>
      </c>
      <c r="B109" s="17" t="s">
        <v>236</v>
      </c>
      <c r="C109" s="18">
        <v>5</v>
      </c>
      <c r="D109" s="18">
        <v>5</v>
      </c>
      <c r="F109" s="27" t="s">
        <v>133</v>
      </c>
      <c r="G109" s="28">
        <v>10</v>
      </c>
      <c r="H109" s="28">
        <v>10</v>
      </c>
    </row>
    <row r="110" spans="1:8" s="6" customFormat="1" ht="56.25">
      <c r="A110" s="16" t="s">
        <v>136</v>
      </c>
      <c r="B110" s="17" t="s">
        <v>237</v>
      </c>
      <c r="C110" s="18">
        <v>2</v>
      </c>
      <c r="D110" s="18">
        <v>2</v>
      </c>
      <c r="F110" s="27" t="s">
        <v>134</v>
      </c>
      <c r="G110" s="28">
        <v>5</v>
      </c>
      <c r="H110" s="28">
        <v>5</v>
      </c>
    </row>
    <row r="111" spans="1:8" s="6" customFormat="1" ht="37.5">
      <c r="A111" s="16" t="s">
        <v>137</v>
      </c>
      <c r="B111" s="17" t="s">
        <v>238</v>
      </c>
      <c r="C111" s="18">
        <v>2</v>
      </c>
      <c r="D111" s="18">
        <v>2</v>
      </c>
      <c r="F111" s="27" t="s">
        <v>135</v>
      </c>
      <c r="G111" s="28">
        <v>5</v>
      </c>
      <c r="H111" s="28">
        <v>5</v>
      </c>
    </row>
    <row r="112" spans="1:8" s="6" customFormat="1" ht="37.5">
      <c r="A112" s="16" t="s">
        <v>138</v>
      </c>
      <c r="B112" s="17" t="s">
        <v>239</v>
      </c>
      <c r="C112" s="18">
        <v>10</v>
      </c>
      <c r="D112" s="18">
        <v>10</v>
      </c>
      <c r="F112" s="27" t="s">
        <v>136</v>
      </c>
      <c r="G112" s="28">
        <v>2</v>
      </c>
      <c r="H112" s="28">
        <v>2</v>
      </c>
    </row>
    <row r="113" spans="1:8" s="6" customFormat="1" ht="37.5">
      <c r="A113" s="16" t="s">
        <v>139</v>
      </c>
      <c r="B113" s="17" t="s">
        <v>239</v>
      </c>
      <c r="C113" s="18">
        <v>10</v>
      </c>
      <c r="D113" s="18">
        <v>10</v>
      </c>
      <c r="F113" s="27" t="s">
        <v>137</v>
      </c>
      <c r="G113" s="28">
        <v>2</v>
      </c>
      <c r="H113" s="28">
        <v>2</v>
      </c>
    </row>
    <row r="114" spans="1:8" s="6" customFormat="1" ht="37.5">
      <c r="A114" s="16" t="s">
        <v>140</v>
      </c>
      <c r="B114" s="17" t="s">
        <v>240</v>
      </c>
      <c r="C114" s="18">
        <v>5</v>
      </c>
      <c r="D114" s="18">
        <v>5</v>
      </c>
      <c r="F114" s="27" t="s">
        <v>138</v>
      </c>
      <c r="G114" s="28">
        <v>10</v>
      </c>
      <c r="H114" s="28">
        <v>10</v>
      </c>
    </row>
    <row r="115" spans="1:8" s="6" customFormat="1" ht="37.5">
      <c r="A115" s="16" t="s">
        <v>141</v>
      </c>
      <c r="B115" s="17" t="s">
        <v>240</v>
      </c>
      <c r="C115" s="18">
        <v>10</v>
      </c>
      <c r="D115" s="18">
        <v>10</v>
      </c>
      <c r="F115" s="27" t="s">
        <v>139</v>
      </c>
      <c r="G115" s="28">
        <v>10</v>
      </c>
      <c r="H115" s="28">
        <v>10</v>
      </c>
    </row>
    <row r="116" spans="1:8" s="6" customFormat="1" ht="75">
      <c r="A116" s="16" t="s">
        <v>142</v>
      </c>
      <c r="B116" s="17" t="s">
        <v>241</v>
      </c>
      <c r="C116" s="18">
        <v>5</v>
      </c>
      <c r="D116" s="18">
        <v>5</v>
      </c>
      <c r="F116" s="27" t="s">
        <v>140</v>
      </c>
      <c r="G116" s="28">
        <v>5</v>
      </c>
      <c r="H116" s="28">
        <v>5</v>
      </c>
    </row>
    <row r="117" spans="1:8" s="6" customFormat="1" ht="56.25">
      <c r="A117" s="22" t="s">
        <v>143</v>
      </c>
      <c r="B117" s="20" t="s">
        <v>242</v>
      </c>
      <c r="C117" s="23">
        <v>5</v>
      </c>
      <c r="D117" s="23">
        <v>2</v>
      </c>
      <c r="F117" s="27" t="s">
        <v>141</v>
      </c>
      <c r="G117" s="28">
        <v>10</v>
      </c>
      <c r="H117" s="28">
        <v>10</v>
      </c>
    </row>
    <row r="118" spans="1:8" s="3" customFormat="1" ht="37.5">
      <c r="A118" s="16" t="s">
        <v>144</v>
      </c>
      <c r="B118" s="17" t="s">
        <v>243</v>
      </c>
      <c r="C118" s="18">
        <v>10</v>
      </c>
      <c r="D118" s="18">
        <v>10</v>
      </c>
      <c r="F118" s="27" t="s">
        <v>142</v>
      </c>
      <c r="G118" s="28">
        <v>5</v>
      </c>
      <c r="H118" s="28">
        <v>5</v>
      </c>
    </row>
    <row r="119" spans="1:8" s="3" customFormat="1" ht="37.5">
      <c r="A119" s="16" t="s">
        <v>145</v>
      </c>
      <c r="B119" s="17" t="s">
        <v>244</v>
      </c>
      <c r="C119" s="18">
        <v>10</v>
      </c>
      <c r="D119" s="18">
        <v>10</v>
      </c>
      <c r="F119" s="27" t="s">
        <v>143</v>
      </c>
      <c r="G119" s="28">
        <v>5</v>
      </c>
      <c r="H119" s="28">
        <v>2</v>
      </c>
    </row>
    <row r="120" spans="1:8" s="3" customFormat="1" ht="37.5">
      <c r="A120" s="22" t="s">
        <v>146</v>
      </c>
      <c r="B120" s="20" t="s">
        <v>245</v>
      </c>
      <c r="C120" s="23">
        <v>10</v>
      </c>
      <c r="D120" s="23">
        <v>17</v>
      </c>
      <c r="F120" s="27" t="s">
        <v>144</v>
      </c>
      <c r="G120" s="28">
        <v>10</v>
      </c>
      <c r="H120" s="28">
        <v>10</v>
      </c>
    </row>
    <row r="121" spans="1:8" s="3" customFormat="1" ht="37.5">
      <c r="A121" s="22" t="s">
        <v>147</v>
      </c>
      <c r="B121" s="20" t="s">
        <v>246</v>
      </c>
      <c r="C121" s="23">
        <v>10</v>
      </c>
      <c r="D121" s="23">
        <v>3</v>
      </c>
      <c r="F121" s="27" t="s">
        <v>145</v>
      </c>
      <c r="G121" s="28">
        <v>10</v>
      </c>
      <c r="H121" s="28">
        <v>10</v>
      </c>
    </row>
    <row r="122" spans="1:8" s="3" customFormat="1" ht="37.5">
      <c r="A122" s="16" t="s">
        <v>148</v>
      </c>
      <c r="B122" s="17" t="s">
        <v>247</v>
      </c>
      <c r="C122" s="18">
        <v>10</v>
      </c>
      <c r="D122" s="18">
        <v>10</v>
      </c>
      <c r="F122" s="27" t="s">
        <v>146</v>
      </c>
      <c r="G122" s="28">
        <v>10</v>
      </c>
      <c r="H122" s="28">
        <v>17</v>
      </c>
    </row>
    <row r="123" spans="1:8" s="3" customFormat="1" ht="37.5">
      <c r="A123" s="16" t="s">
        <v>149</v>
      </c>
      <c r="B123" s="17" t="s">
        <v>248</v>
      </c>
      <c r="C123" s="18">
        <v>10</v>
      </c>
      <c r="D123" s="18">
        <v>10</v>
      </c>
      <c r="F123" s="27" t="s">
        <v>147</v>
      </c>
      <c r="G123" s="28">
        <v>10</v>
      </c>
      <c r="H123" s="28">
        <v>3</v>
      </c>
    </row>
    <row r="124" spans="1:8" s="3" customFormat="1" ht="37.5">
      <c r="A124" s="16" t="s">
        <v>150</v>
      </c>
      <c r="B124" s="17" t="s">
        <v>249</v>
      </c>
      <c r="C124" s="18">
        <v>10</v>
      </c>
      <c r="D124" s="18">
        <v>10</v>
      </c>
      <c r="F124" s="27" t="s">
        <v>148</v>
      </c>
      <c r="G124" s="28">
        <v>10</v>
      </c>
      <c r="H124" s="28">
        <v>10</v>
      </c>
    </row>
    <row r="125" spans="1:8" s="3" customFormat="1" ht="37.5">
      <c r="A125" s="16" t="s">
        <v>151</v>
      </c>
      <c r="B125" s="17" t="s">
        <v>250</v>
      </c>
      <c r="C125" s="18">
        <v>10</v>
      </c>
      <c r="D125" s="18">
        <v>10</v>
      </c>
      <c r="F125" s="27" t="s">
        <v>149</v>
      </c>
      <c r="G125" s="28">
        <v>10</v>
      </c>
      <c r="H125" s="28">
        <v>10</v>
      </c>
    </row>
    <row r="126" spans="1:8" s="3" customFormat="1" ht="37.5">
      <c r="A126" s="16" t="s">
        <v>152</v>
      </c>
      <c r="B126" s="17" t="s">
        <v>251</v>
      </c>
      <c r="C126" s="18">
        <v>10</v>
      </c>
      <c r="D126" s="18">
        <v>10</v>
      </c>
      <c r="F126" s="27" t="s">
        <v>150</v>
      </c>
      <c r="G126" s="28">
        <v>10</v>
      </c>
      <c r="H126" s="28">
        <v>10</v>
      </c>
    </row>
    <row r="127" spans="1:8" s="3" customFormat="1" ht="37.5">
      <c r="A127" s="16" t="s">
        <v>153</v>
      </c>
      <c r="B127" s="17" t="s">
        <v>252</v>
      </c>
      <c r="C127" s="18">
        <v>10</v>
      </c>
      <c r="D127" s="18">
        <v>10</v>
      </c>
      <c r="F127" s="27" t="s">
        <v>151</v>
      </c>
      <c r="G127" s="28">
        <v>10</v>
      </c>
      <c r="H127" s="28">
        <v>10</v>
      </c>
    </row>
    <row r="128" spans="1:8" s="3" customFormat="1" ht="37.5">
      <c r="A128" s="16" t="s">
        <v>154</v>
      </c>
      <c r="B128" s="17" t="s">
        <v>253</v>
      </c>
      <c r="C128" s="18">
        <v>10</v>
      </c>
      <c r="D128" s="18">
        <v>10</v>
      </c>
      <c r="F128" s="27" t="s">
        <v>152</v>
      </c>
      <c r="G128" s="28">
        <v>10</v>
      </c>
      <c r="H128" s="28">
        <v>10</v>
      </c>
    </row>
    <row r="129" spans="1:8" s="3" customFormat="1" ht="20.25">
      <c r="A129" s="16" t="s">
        <v>155</v>
      </c>
      <c r="B129" s="17" t="s">
        <v>254</v>
      </c>
      <c r="C129" s="18">
        <v>5</v>
      </c>
      <c r="D129" s="18">
        <v>5</v>
      </c>
      <c r="F129" s="27" t="s">
        <v>153</v>
      </c>
      <c r="G129" s="28">
        <v>10</v>
      </c>
      <c r="H129" s="28">
        <v>10</v>
      </c>
    </row>
    <row r="130" spans="1:8" s="3" customFormat="1" ht="20.25">
      <c r="A130" s="16" t="s">
        <v>156</v>
      </c>
      <c r="B130" s="17" t="s">
        <v>255</v>
      </c>
      <c r="C130" s="18">
        <v>2</v>
      </c>
      <c r="D130" s="18">
        <v>2</v>
      </c>
      <c r="F130" s="27" t="s">
        <v>154</v>
      </c>
      <c r="G130" s="28">
        <v>10</v>
      </c>
      <c r="H130" s="28">
        <v>10</v>
      </c>
    </row>
    <row r="131" spans="1:8" s="3" customFormat="1" ht="37.5">
      <c r="A131" s="16" t="s">
        <v>157</v>
      </c>
      <c r="B131" s="17" t="s">
        <v>256</v>
      </c>
      <c r="C131" s="18">
        <v>2</v>
      </c>
      <c r="D131" s="18">
        <v>2</v>
      </c>
      <c r="F131" s="27" t="s">
        <v>155</v>
      </c>
      <c r="G131" s="28">
        <v>5</v>
      </c>
      <c r="H131" s="28">
        <v>5</v>
      </c>
    </row>
    <row r="132" spans="1:8" ht="20.25">
      <c r="A132" s="8"/>
      <c r="B132" s="7"/>
      <c r="C132" s="9"/>
      <c r="D132" s="15"/>
      <c r="F132" s="27" t="s">
        <v>156</v>
      </c>
      <c r="G132" s="28">
        <v>2</v>
      </c>
      <c r="H132" s="28">
        <v>2</v>
      </c>
    </row>
    <row r="133" spans="1:8" ht="20.25">
      <c r="F133" s="27" t="s">
        <v>157</v>
      </c>
      <c r="G133" s="28">
        <v>2</v>
      </c>
      <c r="H133" s="28">
        <v>2</v>
      </c>
    </row>
    <row r="134" spans="1:8">
      <c r="F134" s="25" t="s">
        <v>259</v>
      </c>
      <c r="G134" s="26">
        <v>12108</v>
      </c>
      <c r="H134" s="26">
        <v>12106</v>
      </c>
    </row>
  </sheetData>
  <phoneticPr fontId="67" type="noConversion"/>
  <conditionalFormatting sqref="A1">
    <cfRule type="duplicateValues" dxfId="27" priority="3"/>
  </conditionalFormatting>
  <conditionalFormatting sqref="A1:A1048576">
    <cfRule type="duplicateValues" dxfId="26" priority="1"/>
  </conditionalFormatting>
  <conditionalFormatting sqref="A2:A131">
    <cfRule type="duplicateValues" dxfId="25" priority="41"/>
  </conditionalFormatting>
  <pageMargins left="0.7" right="0.7" top="0.75" bottom="0.75" header="0.3" footer="0.3"/>
  <pageSetup paperSize="9"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9095B-8AB2-46F1-9110-B793640BF19C}">
  <dimension ref="A1:D131"/>
  <sheetViews>
    <sheetView tabSelected="1" workbookViewId="0">
      <selection activeCell="H13" sqref="H13"/>
    </sheetView>
  </sheetViews>
  <sheetFormatPr defaultRowHeight="18"/>
  <cols>
    <col min="1" max="1" width="18.42578125" style="29" customWidth="1"/>
    <col min="2" max="3" width="9.140625" style="29"/>
    <col min="4" max="4" width="19.85546875" customWidth="1"/>
  </cols>
  <sheetData>
    <row r="1" spans="1:4" s="10" customFormat="1">
      <c r="A1" s="29" t="s">
        <v>262</v>
      </c>
      <c r="B1" s="29" t="s">
        <v>263</v>
      </c>
      <c r="C1" s="29" t="s">
        <v>257</v>
      </c>
      <c r="D1" s="29" t="s">
        <v>264</v>
      </c>
    </row>
    <row r="2" spans="1:4">
      <c r="A2" s="30" t="s">
        <v>50</v>
      </c>
      <c r="B2" s="30">
        <v>200</v>
      </c>
      <c r="C2" s="30">
        <v>200</v>
      </c>
      <c r="D2">
        <f>C2-B2</f>
        <v>0</v>
      </c>
    </row>
    <row r="3" spans="1:4">
      <c r="A3" s="30" t="s">
        <v>51</v>
      </c>
      <c r="B3" s="30">
        <v>120</v>
      </c>
      <c r="C3" s="30">
        <v>120</v>
      </c>
      <c r="D3" s="10">
        <f t="shared" ref="D3:D66" si="0">C3-B3</f>
        <v>0</v>
      </c>
    </row>
    <row r="4" spans="1:4">
      <c r="A4" s="30" t="s">
        <v>52</v>
      </c>
      <c r="B4" s="30">
        <v>56</v>
      </c>
      <c r="C4" s="30">
        <v>56</v>
      </c>
      <c r="D4" s="10">
        <f t="shared" si="0"/>
        <v>0</v>
      </c>
    </row>
    <row r="5" spans="1:4">
      <c r="A5" s="30" t="s">
        <v>53</v>
      </c>
      <c r="B5" s="30">
        <v>12</v>
      </c>
      <c r="C5" s="30">
        <v>12</v>
      </c>
      <c r="D5" s="10">
        <f t="shared" si="0"/>
        <v>0</v>
      </c>
    </row>
    <row r="6" spans="1:4">
      <c r="A6" s="30" t="s">
        <v>54</v>
      </c>
      <c r="B6" s="30">
        <v>60</v>
      </c>
      <c r="C6" s="30">
        <v>60</v>
      </c>
      <c r="D6" s="10">
        <f t="shared" si="0"/>
        <v>0</v>
      </c>
    </row>
    <row r="7" spans="1:4">
      <c r="A7" s="30" t="s">
        <v>55</v>
      </c>
      <c r="B7" s="30">
        <v>40</v>
      </c>
      <c r="C7" s="30">
        <v>40</v>
      </c>
      <c r="D7" s="10">
        <f t="shared" si="0"/>
        <v>0</v>
      </c>
    </row>
    <row r="8" spans="1:4">
      <c r="A8" s="30" t="s">
        <v>11</v>
      </c>
      <c r="B8" s="30">
        <v>72</v>
      </c>
      <c r="C8" s="30">
        <v>72</v>
      </c>
      <c r="D8" s="10">
        <f t="shared" si="0"/>
        <v>0</v>
      </c>
    </row>
    <row r="9" spans="1:4">
      <c r="A9" s="30" t="s">
        <v>56</v>
      </c>
      <c r="B9" s="30">
        <v>30</v>
      </c>
      <c r="C9" s="30">
        <v>30</v>
      </c>
      <c r="D9" s="10">
        <f t="shared" si="0"/>
        <v>0</v>
      </c>
    </row>
    <row r="10" spans="1:4">
      <c r="A10" s="31" t="s">
        <v>57</v>
      </c>
      <c r="B10" s="31">
        <v>10</v>
      </c>
      <c r="C10" s="31">
        <v>12</v>
      </c>
      <c r="D10" s="33">
        <f t="shared" si="0"/>
        <v>2</v>
      </c>
    </row>
    <row r="11" spans="1:4">
      <c r="A11" s="30" t="s">
        <v>58</v>
      </c>
      <c r="B11" s="30">
        <v>6</v>
      </c>
      <c r="C11" s="30">
        <v>6</v>
      </c>
      <c r="D11" s="10">
        <f t="shared" si="0"/>
        <v>0</v>
      </c>
    </row>
    <row r="12" spans="1:4">
      <c r="A12" s="30" t="s">
        <v>59</v>
      </c>
      <c r="B12" s="30">
        <v>16</v>
      </c>
      <c r="C12" s="30">
        <v>16</v>
      </c>
      <c r="D12" s="10">
        <f t="shared" si="0"/>
        <v>0</v>
      </c>
    </row>
    <row r="13" spans="1:4">
      <c r="A13" s="30" t="s">
        <v>60</v>
      </c>
      <c r="B13" s="30">
        <v>8</v>
      </c>
      <c r="C13" s="30">
        <v>8</v>
      </c>
      <c r="D13" s="10">
        <f t="shared" si="0"/>
        <v>0</v>
      </c>
    </row>
    <row r="14" spans="1:4">
      <c r="A14" s="30" t="s">
        <v>61</v>
      </c>
      <c r="B14" s="30">
        <v>10</v>
      </c>
      <c r="C14" s="30">
        <v>10</v>
      </c>
      <c r="D14" s="10">
        <f t="shared" si="0"/>
        <v>0</v>
      </c>
    </row>
    <row r="15" spans="1:4">
      <c r="A15" s="30" t="s">
        <v>62</v>
      </c>
      <c r="B15" s="30">
        <v>12</v>
      </c>
      <c r="C15" s="30">
        <v>12</v>
      </c>
      <c r="D15" s="10">
        <f t="shared" si="0"/>
        <v>0</v>
      </c>
    </row>
    <row r="16" spans="1:4">
      <c r="A16" s="30" t="s">
        <v>63</v>
      </c>
      <c r="B16" s="30">
        <v>6</v>
      </c>
      <c r="C16" s="30">
        <v>6</v>
      </c>
      <c r="D16" s="10">
        <f t="shared" si="0"/>
        <v>0</v>
      </c>
    </row>
    <row r="17" spans="1:4">
      <c r="A17" s="30" t="s">
        <v>64</v>
      </c>
      <c r="B17" s="30">
        <v>35</v>
      </c>
      <c r="C17" s="30">
        <v>35</v>
      </c>
      <c r="D17" s="10">
        <f t="shared" si="0"/>
        <v>0</v>
      </c>
    </row>
    <row r="18" spans="1:4">
      <c r="A18" s="30" t="s">
        <v>65</v>
      </c>
      <c r="B18" s="30">
        <v>36</v>
      </c>
      <c r="C18" s="30">
        <v>36</v>
      </c>
      <c r="D18" s="10">
        <f t="shared" si="0"/>
        <v>0</v>
      </c>
    </row>
    <row r="19" spans="1:4">
      <c r="A19" s="30" t="s">
        <v>66</v>
      </c>
      <c r="B19" s="30">
        <v>6</v>
      </c>
      <c r="C19" s="30">
        <v>6</v>
      </c>
      <c r="D19" s="10">
        <f t="shared" si="0"/>
        <v>0</v>
      </c>
    </row>
    <row r="20" spans="1:4">
      <c r="A20" s="30" t="s">
        <v>67</v>
      </c>
      <c r="B20" s="30">
        <v>20</v>
      </c>
      <c r="C20" s="30">
        <v>20</v>
      </c>
      <c r="D20" s="10">
        <f t="shared" si="0"/>
        <v>0</v>
      </c>
    </row>
    <row r="21" spans="1:4">
      <c r="A21" s="31" t="s">
        <v>68</v>
      </c>
      <c r="B21" s="31">
        <v>12</v>
      </c>
      <c r="C21" s="31">
        <v>14</v>
      </c>
      <c r="D21" s="33">
        <f t="shared" si="0"/>
        <v>2</v>
      </c>
    </row>
    <row r="22" spans="1:4">
      <c r="A22" s="30" t="s">
        <v>12</v>
      </c>
      <c r="B22" s="30">
        <v>10</v>
      </c>
      <c r="C22" s="30">
        <v>10</v>
      </c>
      <c r="D22" s="10">
        <f t="shared" si="0"/>
        <v>0</v>
      </c>
    </row>
    <row r="23" spans="1:4">
      <c r="A23" s="30" t="s">
        <v>13</v>
      </c>
      <c r="B23" s="30">
        <v>4</v>
      </c>
      <c r="C23" s="30">
        <v>4</v>
      </c>
      <c r="D23" s="10">
        <f t="shared" si="0"/>
        <v>0</v>
      </c>
    </row>
    <row r="24" spans="1:4">
      <c r="A24" s="30" t="s">
        <v>14</v>
      </c>
      <c r="B24" s="30">
        <v>12</v>
      </c>
      <c r="C24" s="30">
        <v>12</v>
      </c>
      <c r="D24" s="10">
        <f t="shared" si="0"/>
        <v>0</v>
      </c>
    </row>
    <row r="25" spans="1:4">
      <c r="A25" s="30" t="s">
        <v>69</v>
      </c>
      <c r="B25" s="30">
        <v>10</v>
      </c>
      <c r="C25" s="30">
        <v>10</v>
      </c>
      <c r="D25" s="10">
        <f t="shared" si="0"/>
        <v>0</v>
      </c>
    </row>
    <row r="26" spans="1:4">
      <c r="A26" s="30" t="s">
        <v>70</v>
      </c>
      <c r="B26" s="30">
        <v>10</v>
      </c>
      <c r="C26" s="30">
        <v>10</v>
      </c>
      <c r="D26" s="10">
        <f t="shared" si="0"/>
        <v>0</v>
      </c>
    </row>
    <row r="27" spans="1:4">
      <c r="A27" s="30" t="s">
        <v>71</v>
      </c>
      <c r="B27" s="30">
        <v>20</v>
      </c>
      <c r="C27" s="30">
        <v>20</v>
      </c>
      <c r="D27" s="10">
        <f t="shared" si="0"/>
        <v>0</v>
      </c>
    </row>
    <row r="28" spans="1:4">
      <c r="A28" s="30" t="s">
        <v>72</v>
      </c>
      <c r="B28" s="30">
        <v>60</v>
      </c>
      <c r="C28" s="30">
        <v>60</v>
      </c>
      <c r="D28" s="10">
        <f t="shared" si="0"/>
        <v>0</v>
      </c>
    </row>
    <row r="29" spans="1:4">
      <c r="A29" s="30" t="s">
        <v>73</v>
      </c>
      <c r="B29" s="30">
        <v>9</v>
      </c>
      <c r="C29" s="30">
        <v>9</v>
      </c>
      <c r="D29" s="10">
        <f t="shared" si="0"/>
        <v>0</v>
      </c>
    </row>
    <row r="30" spans="1:4">
      <c r="A30" s="30" t="s">
        <v>74</v>
      </c>
      <c r="B30" s="30">
        <v>35</v>
      </c>
      <c r="C30" s="30">
        <v>35</v>
      </c>
      <c r="D30" s="10">
        <f t="shared" si="0"/>
        <v>0</v>
      </c>
    </row>
    <row r="31" spans="1:4">
      <c r="A31" s="30" t="s">
        <v>75</v>
      </c>
      <c r="B31" s="30">
        <v>10</v>
      </c>
      <c r="C31" s="30">
        <v>10</v>
      </c>
      <c r="D31" s="10">
        <f t="shared" si="0"/>
        <v>0</v>
      </c>
    </row>
    <row r="32" spans="1:4">
      <c r="A32" s="30" t="s">
        <v>76</v>
      </c>
      <c r="B32" s="30">
        <v>4</v>
      </c>
      <c r="C32" s="30">
        <v>4</v>
      </c>
      <c r="D32" s="10">
        <f t="shared" si="0"/>
        <v>0</v>
      </c>
    </row>
    <row r="33" spans="1:4">
      <c r="A33" s="30" t="s">
        <v>77</v>
      </c>
      <c r="B33" s="30">
        <v>4</v>
      </c>
      <c r="C33" s="30">
        <v>4</v>
      </c>
      <c r="D33" s="10">
        <f t="shared" si="0"/>
        <v>0</v>
      </c>
    </row>
    <row r="34" spans="1:4">
      <c r="A34" s="30" t="s">
        <v>78</v>
      </c>
      <c r="B34" s="30">
        <v>10</v>
      </c>
      <c r="C34" s="30">
        <v>10</v>
      </c>
      <c r="D34" s="10">
        <f t="shared" si="0"/>
        <v>0</v>
      </c>
    </row>
    <row r="35" spans="1:4">
      <c r="A35" s="30" t="s">
        <v>79</v>
      </c>
      <c r="B35" s="30">
        <v>9</v>
      </c>
      <c r="C35" s="30">
        <v>9</v>
      </c>
      <c r="D35" s="10">
        <f t="shared" si="0"/>
        <v>0</v>
      </c>
    </row>
    <row r="36" spans="1:4">
      <c r="A36" s="30" t="s">
        <v>80</v>
      </c>
      <c r="B36" s="30">
        <v>10</v>
      </c>
      <c r="C36" s="30">
        <v>10</v>
      </c>
      <c r="D36" s="10">
        <f t="shared" si="0"/>
        <v>0</v>
      </c>
    </row>
    <row r="37" spans="1:4">
      <c r="A37" s="30" t="s">
        <v>81</v>
      </c>
      <c r="B37" s="30">
        <v>32</v>
      </c>
      <c r="C37" s="30">
        <v>32</v>
      </c>
      <c r="D37" s="10">
        <f t="shared" si="0"/>
        <v>0</v>
      </c>
    </row>
    <row r="38" spans="1:4">
      <c r="A38" s="30" t="s">
        <v>82</v>
      </c>
      <c r="B38" s="30">
        <v>8</v>
      </c>
      <c r="C38" s="30">
        <v>8</v>
      </c>
      <c r="D38" s="10">
        <f t="shared" si="0"/>
        <v>0</v>
      </c>
    </row>
    <row r="39" spans="1:4">
      <c r="A39" s="30" t="s">
        <v>83</v>
      </c>
      <c r="B39" s="30">
        <v>7</v>
      </c>
      <c r="C39" s="30">
        <v>7</v>
      </c>
      <c r="D39" s="10">
        <f t="shared" si="0"/>
        <v>0</v>
      </c>
    </row>
    <row r="40" spans="1:4">
      <c r="A40" s="30" t="s">
        <v>84</v>
      </c>
      <c r="B40" s="30">
        <v>28</v>
      </c>
      <c r="C40" s="30">
        <v>28</v>
      </c>
      <c r="D40" s="10">
        <f t="shared" si="0"/>
        <v>0</v>
      </c>
    </row>
    <row r="41" spans="1:4">
      <c r="A41" s="30" t="s">
        <v>15</v>
      </c>
      <c r="B41" s="30">
        <v>24</v>
      </c>
      <c r="C41" s="30">
        <v>24</v>
      </c>
      <c r="D41" s="10">
        <f t="shared" si="0"/>
        <v>0</v>
      </c>
    </row>
    <row r="42" spans="1:4">
      <c r="A42" s="30" t="s">
        <v>16</v>
      </c>
      <c r="B42" s="30">
        <v>20</v>
      </c>
      <c r="C42" s="30">
        <v>20</v>
      </c>
      <c r="D42" s="10">
        <f t="shared" si="0"/>
        <v>0</v>
      </c>
    </row>
    <row r="43" spans="1:4">
      <c r="A43" s="30" t="s">
        <v>17</v>
      </c>
      <c r="B43" s="30">
        <v>6</v>
      </c>
      <c r="C43" s="30">
        <v>6</v>
      </c>
      <c r="D43" s="10">
        <f t="shared" si="0"/>
        <v>0</v>
      </c>
    </row>
    <row r="44" spans="1:4">
      <c r="A44" s="30" t="s">
        <v>85</v>
      </c>
      <c r="B44" s="30">
        <v>4</v>
      </c>
      <c r="C44" s="30">
        <v>4</v>
      </c>
      <c r="D44" s="10">
        <f t="shared" si="0"/>
        <v>0</v>
      </c>
    </row>
    <row r="45" spans="1:4">
      <c r="A45" s="30" t="s">
        <v>86</v>
      </c>
      <c r="B45" s="30">
        <v>4</v>
      </c>
      <c r="C45" s="30">
        <v>4</v>
      </c>
      <c r="D45" s="10">
        <f t="shared" si="0"/>
        <v>0</v>
      </c>
    </row>
    <row r="46" spans="1:4">
      <c r="A46" s="30" t="s">
        <v>87</v>
      </c>
      <c r="B46" s="30">
        <v>40</v>
      </c>
      <c r="C46" s="30">
        <v>40</v>
      </c>
      <c r="D46" s="10">
        <f t="shared" si="0"/>
        <v>0</v>
      </c>
    </row>
    <row r="47" spans="1:4">
      <c r="A47" s="30" t="s">
        <v>18</v>
      </c>
      <c r="B47" s="30">
        <v>5</v>
      </c>
      <c r="C47" s="30">
        <v>5</v>
      </c>
      <c r="D47" s="10">
        <f t="shared" si="0"/>
        <v>0</v>
      </c>
    </row>
    <row r="48" spans="1:4">
      <c r="A48" s="30" t="s">
        <v>88</v>
      </c>
      <c r="B48" s="30">
        <v>6</v>
      </c>
      <c r="C48" s="30">
        <v>6</v>
      </c>
      <c r="D48" s="10">
        <f t="shared" si="0"/>
        <v>0</v>
      </c>
    </row>
    <row r="49" spans="1:4">
      <c r="A49" s="30" t="s">
        <v>19</v>
      </c>
      <c r="B49" s="30">
        <v>10</v>
      </c>
      <c r="C49" s="30">
        <v>10</v>
      </c>
      <c r="D49" s="10">
        <f t="shared" si="0"/>
        <v>0</v>
      </c>
    </row>
    <row r="50" spans="1:4">
      <c r="A50" s="30" t="s">
        <v>89</v>
      </c>
      <c r="B50" s="30">
        <v>1</v>
      </c>
      <c r="C50" s="30">
        <v>1</v>
      </c>
      <c r="D50" s="10">
        <f t="shared" si="0"/>
        <v>0</v>
      </c>
    </row>
    <row r="51" spans="1:4">
      <c r="A51" s="30" t="s">
        <v>90</v>
      </c>
      <c r="B51" s="30">
        <v>100</v>
      </c>
      <c r="C51" s="30">
        <v>100</v>
      </c>
      <c r="D51" s="10">
        <f t="shared" si="0"/>
        <v>0</v>
      </c>
    </row>
    <row r="52" spans="1:4">
      <c r="A52" s="30" t="s">
        <v>20</v>
      </c>
      <c r="B52" s="30">
        <v>100</v>
      </c>
      <c r="C52" s="30">
        <v>100</v>
      </c>
      <c r="D52" s="10">
        <f t="shared" si="0"/>
        <v>0</v>
      </c>
    </row>
    <row r="53" spans="1:4">
      <c r="A53" s="30" t="s">
        <v>91</v>
      </c>
      <c r="B53" s="30">
        <v>10</v>
      </c>
      <c r="C53" s="30">
        <v>10</v>
      </c>
      <c r="D53" s="10">
        <f t="shared" si="0"/>
        <v>0</v>
      </c>
    </row>
    <row r="54" spans="1:4">
      <c r="A54" s="30" t="s">
        <v>92</v>
      </c>
      <c r="B54" s="30">
        <v>54</v>
      </c>
      <c r="C54" s="30">
        <v>54</v>
      </c>
      <c r="D54" s="10">
        <f t="shared" si="0"/>
        <v>0</v>
      </c>
    </row>
    <row r="55" spans="1:4">
      <c r="A55" s="30" t="s">
        <v>93</v>
      </c>
      <c r="B55" s="30">
        <v>26</v>
      </c>
      <c r="C55" s="30">
        <v>26</v>
      </c>
      <c r="D55" s="10">
        <f t="shared" si="0"/>
        <v>0</v>
      </c>
    </row>
    <row r="56" spans="1:4">
      <c r="A56" s="30" t="s">
        <v>94</v>
      </c>
      <c r="B56" s="30">
        <v>10</v>
      </c>
      <c r="C56" s="30">
        <v>10</v>
      </c>
      <c r="D56" s="10">
        <f t="shared" si="0"/>
        <v>0</v>
      </c>
    </row>
    <row r="57" spans="1:4">
      <c r="A57" s="30" t="s">
        <v>95</v>
      </c>
      <c r="B57" s="30">
        <v>5</v>
      </c>
      <c r="C57" s="30">
        <v>5</v>
      </c>
      <c r="D57" s="10">
        <f t="shared" si="0"/>
        <v>0</v>
      </c>
    </row>
    <row r="58" spans="1:4">
      <c r="A58" s="30" t="s">
        <v>96</v>
      </c>
      <c r="B58" s="30">
        <v>5</v>
      </c>
      <c r="C58" s="30">
        <v>5</v>
      </c>
      <c r="D58" s="10">
        <f t="shared" si="0"/>
        <v>0</v>
      </c>
    </row>
    <row r="59" spans="1:4">
      <c r="A59" s="30" t="s">
        <v>21</v>
      </c>
      <c r="B59" s="30">
        <v>6</v>
      </c>
      <c r="C59" s="30">
        <v>6</v>
      </c>
      <c r="D59" s="10">
        <f t="shared" si="0"/>
        <v>0</v>
      </c>
    </row>
    <row r="60" spans="1:4">
      <c r="A60" s="30" t="s">
        <v>3</v>
      </c>
      <c r="B60" s="30">
        <v>5</v>
      </c>
      <c r="C60" s="30">
        <v>5</v>
      </c>
      <c r="D60" s="10">
        <f t="shared" si="0"/>
        <v>0</v>
      </c>
    </row>
    <row r="61" spans="1:4">
      <c r="A61" s="30" t="s">
        <v>97</v>
      </c>
      <c r="B61" s="30">
        <v>1</v>
      </c>
      <c r="C61" s="30">
        <v>1</v>
      </c>
      <c r="D61" s="10">
        <f t="shared" si="0"/>
        <v>0</v>
      </c>
    </row>
    <row r="62" spans="1:4">
      <c r="A62" s="30" t="s">
        <v>98</v>
      </c>
      <c r="B62" s="30">
        <v>20</v>
      </c>
      <c r="C62" s="30">
        <v>20</v>
      </c>
      <c r="D62" s="10">
        <f t="shared" si="0"/>
        <v>0</v>
      </c>
    </row>
    <row r="63" spans="1:4">
      <c r="A63" s="30" t="s">
        <v>99</v>
      </c>
      <c r="B63" s="30">
        <v>15</v>
      </c>
      <c r="C63" s="30">
        <v>15</v>
      </c>
      <c r="D63" s="10">
        <f t="shared" si="0"/>
        <v>0</v>
      </c>
    </row>
    <row r="64" spans="1:4">
      <c r="A64" s="30" t="s">
        <v>100</v>
      </c>
      <c r="B64" s="30">
        <v>18</v>
      </c>
      <c r="C64" s="30">
        <v>18</v>
      </c>
      <c r="D64" s="10">
        <f t="shared" si="0"/>
        <v>0</v>
      </c>
    </row>
    <row r="65" spans="1:4">
      <c r="A65" s="30" t="s">
        <v>101</v>
      </c>
      <c r="B65" s="30">
        <v>2</v>
      </c>
      <c r="C65" s="30">
        <v>2</v>
      </c>
      <c r="D65" s="10">
        <f t="shared" si="0"/>
        <v>0</v>
      </c>
    </row>
    <row r="66" spans="1:4">
      <c r="A66" s="30" t="s">
        <v>102</v>
      </c>
      <c r="B66" s="30">
        <v>5</v>
      </c>
      <c r="C66" s="30">
        <v>5</v>
      </c>
      <c r="D66" s="10">
        <f t="shared" si="0"/>
        <v>0</v>
      </c>
    </row>
    <row r="67" spans="1:4">
      <c r="A67" s="30" t="s">
        <v>103</v>
      </c>
      <c r="B67" s="30">
        <v>30</v>
      </c>
      <c r="C67" s="30">
        <v>30</v>
      </c>
      <c r="D67" s="10">
        <f t="shared" ref="D67:D130" si="1">C67-B67</f>
        <v>0</v>
      </c>
    </row>
    <row r="68" spans="1:4">
      <c r="A68" s="32" t="s">
        <v>104</v>
      </c>
      <c r="B68" s="32">
        <v>80</v>
      </c>
      <c r="C68" s="32">
        <v>77</v>
      </c>
      <c r="D68" s="34">
        <f t="shared" si="1"/>
        <v>-3</v>
      </c>
    </row>
    <row r="69" spans="1:4">
      <c r="A69" s="30" t="s">
        <v>105</v>
      </c>
      <c r="B69" s="30">
        <v>70</v>
      </c>
      <c r="C69" s="30">
        <v>70</v>
      </c>
      <c r="D69" s="10">
        <f t="shared" si="1"/>
        <v>0</v>
      </c>
    </row>
    <row r="70" spans="1:4">
      <c r="A70" s="30" t="s">
        <v>106</v>
      </c>
      <c r="B70" s="30">
        <v>1</v>
      </c>
      <c r="C70" s="30">
        <v>1</v>
      </c>
      <c r="D70" s="10">
        <f t="shared" si="1"/>
        <v>0</v>
      </c>
    </row>
    <row r="71" spans="1:4">
      <c r="A71" s="30" t="s">
        <v>107</v>
      </c>
      <c r="B71" s="30">
        <v>1</v>
      </c>
      <c r="C71" s="30">
        <v>1</v>
      </c>
      <c r="D71" s="10">
        <f t="shared" si="1"/>
        <v>0</v>
      </c>
    </row>
    <row r="72" spans="1:4">
      <c r="A72" s="30" t="s">
        <v>108</v>
      </c>
      <c r="B72" s="30">
        <v>3</v>
      </c>
      <c r="C72" s="30">
        <v>3</v>
      </c>
      <c r="D72" s="10">
        <f t="shared" si="1"/>
        <v>0</v>
      </c>
    </row>
    <row r="73" spans="1:4">
      <c r="A73" s="30" t="s">
        <v>109</v>
      </c>
      <c r="B73" s="30">
        <v>5</v>
      </c>
      <c r="C73" s="30">
        <v>5</v>
      </c>
      <c r="D73" s="10">
        <f t="shared" si="1"/>
        <v>0</v>
      </c>
    </row>
    <row r="74" spans="1:4">
      <c r="A74" s="30" t="s">
        <v>4</v>
      </c>
      <c r="B74" s="30">
        <v>80</v>
      </c>
      <c r="C74" s="30">
        <v>80</v>
      </c>
      <c r="D74" s="10">
        <f t="shared" si="1"/>
        <v>0</v>
      </c>
    </row>
    <row r="75" spans="1:4">
      <c r="A75" s="30" t="s">
        <v>110</v>
      </c>
      <c r="B75" s="30">
        <v>600</v>
      </c>
      <c r="C75" s="30">
        <v>600</v>
      </c>
      <c r="D75" s="10">
        <f t="shared" si="1"/>
        <v>0</v>
      </c>
    </row>
    <row r="76" spans="1:4">
      <c r="A76" s="30" t="s">
        <v>5</v>
      </c>
      <c r="B76" s="30">
        <v>1400</v>
      </c>
      <c r="C76" s="30">
        <v>1400</v>
      </c>
      <c r="D76" s="10">
        <f t="shared" si="1"/>
        <v>0</v>
      </c>
    </row>
    <row r="77" spans="1:4">
      <c r="A77" s="30" t="s">
        <v>111</v>
      </c>
      <c r="B77" s="30">
        <v>480</v>
      </c>
      <c r="C77" s="30">
        <v>480</v>
      </c>
      <c r="D77" s="10">
        <f t="shared" si="1"/>
        <v>0</v>
      </c>
    </row>
    <row r="78" spans="1:4">
      <c r="A78" s="30" t="s">
        <v>112</v>
      </c>
      <c r="B78" s="30">
        <v>540</v>
      </c>
      <c r="C78" s="30">
        <v>540</v>
      </c>
      <c r="D78" s="10">
        <f t="shared" si="1"/>
        <v>0</v>
      </c>
    </row>
    <row r="79" spans="1:4">
      <c r="A79" s="30" t="s">
        <v>6</v>
      </c>
      <c r="B79" s="30">
        <v>960</v>
      </c>
      <c r="C79" s="30">
        <v>960</v>
      </c>
      <c r="D79" s="10">
        <f t="shared" si="1"/>
        <v>0</v>
      </c>
    </row>
    <row r="80" spans="1:4">
      <c r="A80" s="30" t="s">
        <v>7</v>
      </c>
      <c r="B80" s="30">
        <v>160</v>
      </c>
      <c r="C80" s="30">
        <v>160</v>
      </c>
      <c r="D80" s="10">
        <f t="shared" si="1"/>
        <v>0</v>
      </c>
    </row>
    <row r="81" spans="1:4">
      <c r="A81" s="30" t="s">
        <v>113</v>
      </c>
      <c r="B81" s="30">
        <v>1820</v>
      </c>
      <c r="C81" s="30">
        <v>1820</v>
      </c>
      <c r="D81" s="10">
        <f t="shared" si="1"/>
        <v>0</v>
      </c>
    </row>
    <row r="82" spans="1:4">
      <c r="A82" s="30" t="s">
        <v>114</v>
      </c>
      <c r="B82" s="30">
        <v>288</v>
      </c>
      <c r="C82" s="30">
        <v>288</v>
      </c>
      <c r="D82" s="10">
        <f t="shared" si="1"/>
        <v>0</v>
      </c>
    </row>
    <row r="83" spans="1:4">
      <c r="A83" s="30" t="s">
        <v>115</v>
      </c>
      <c r="B83" s="30">
        <v>432</v>
      </c>
      <c r="C83" s="30">
        <v>432</v>
      </c>
      <c r="D83" s="10">
        <f t="shared" si="1"/>
        <v>0</v>
      </c>
    </row>
    <row r="84" spans="1:4">
      <c r="A84" s="30" t="s">
        <v>8</v>
      </c>
      <c r="B84" s="30">
        <v>864</v>
      </c>
      <c r="C84" s="30">
        <v>864</v>
      </c>
      <c r="D84" s="10">
        <f t="shared" si="1"/>
        <v>0</v>
      </c>
    </row>
    <row r="85" spans="1:4">
      <c r="A85" s="30" t="s">
        <v>116</v>
      </c>
      <c r="B85" s="30">
        <v>384</v>
      </c>
      <c r="C85" s="30">
        <v>384</v>
      </c>
      <c r="D85" s="10">
        <f t="shared" si="1"/>
        <v>0</v>
      </c>
    </row>
    <row r="86" spans="1:4">
      <c r="A86" s="30" t="s">
        <v>22</v>
      </c>
      <c r="B86" s="30">
        <v>480</v>
      </c>
      <c r="C86" s="30">
        <v>480</v>
      </c>
      <c r="D86" s="10">
        <f t="shared" si="1"/>
        <v>0</v>
      </c>
    </row>
    <row r="87" spans="1:4">
      <c r="A87" s="30" t="s">
        <v>9</v>
      </c>
      <c r="B87" s="30">
        <v>648</v>
      </c>
      <c r="C87" s="30">
        <v>648</v>
      </c>
      <c r="D87" s="10">
        <f t="shared" si="1"/>
        <v>0</v>
      </c>
    </row>
    <row r="88" spans="1:4">
      <c r="A88" s="30" t="s">
        <v>23</v>
      </c>
      <c r="B88" s="30">
        <v>640</v>
      </c>
      <c r="C88" s="30">
        <v>640</v>
      </c>
      <c r="D88" s="10">
        <f t="shared" si="1"/>
        <v>0</v>
      </c>
    </row>
    <row r="89" spans="1:4">
      <c r="A89" s="30" t="s">
        <v>10</v>
      </c>
      <c r="B89" s="30">
        <v>96</v>
      </c>
      <c r="C89" s="30">
        <v>96</v>
      </c>
      <c r="D89" s="10">
        <f t="shared" si="1"/>
        <v>0</v>
      </c>
    </row>
    <row r="90" spans="1:4">
      <c r="A90" s="30" t="s">
        <v>24</v>
      </c>
      <c r="B90" s="30">
        <v>192</v>
      </c>
      <c r="C90" s="30">
        <v>192</v>
      </c>
      <c r="D90" s="10">
        <f t="shared" si="1"/>
        <v>0</v>
      </c>
    </row>
    <row r="91" spans="1:4">
      <c r="A91" s="30" t="s">
        <v>117</v>
      </c>
      <c r="B91" s="30">
        <v>10</v>
      </c>
      <c r="C91" s="30">
        <v>10</v>
      </c>
      <c r="D91" s="10">
        <f t="shared" si="1"/>
        <v>0</v>
      </c>
    </row>
    <row r="92" spans="1:4">
      <c r="A92" s="30" t="s">
        <v>118</v>
      </c>
      <c r="B92" s="30">
        <v>10</v>
      </c>
      <c r="C92" s="30">
        <v>10</v>
      </c>
      <c r="D92" s="10">
        <f t="shared" si="1"/>
        <v>0</v>
      </c>
    </row>
    <row r="93" spans="1:4">
      <c r="A93" s="30" t="s">
        <v>119</v>
      </c>
      <c r="B93" s="30">
        <v>5</v>
      </c>
      <c r="C93" s="30">
        <v>5</v>
      </c>
      <c r="D93" s="10">
        <f t="shared" si="1"/>
        <v>0</v>
      </c>
    </row>
    <row r="94" spans="1:4">
      <c r="A94" s="30" t="s">
        <v>120</v>
      </c>
      <c r="B94" s="30">
        <v>5</v>
      </c>
      <c r="C94" s="30">
        <v>5</v>
      </c>
      <c r="D94" s="10">
        <f t="shared" si="1"/>
        <v>0</v>
      </c>
    </row>
    <row r="95" spans="1:4">
      <c r="A95" s="30" t="s">
        <v>121</v>
      </c>
      <c r="B95" s="30">
        <v>5</v>
      </c>
      <c r="C95" s="30">
        <v>5</v>
      </c>
      <c r="D95" s="10">
        <f t="shared" si="1"/>
        <v>0</v>
      </c>
    </row>
    <row r="96" spans="1:4">
      <c r="A96" s="30" t="s">
        <v>122</v>
      </c>
      <c r="B96" s="30">
        <v>5</v>
      </c>
      <c r="C96" s="30">
        <v>5</v>
      </c>
      <c r="D96" s="10">
        <f t="shared" si="1"/>
        <v>0</v>
      </c>
    </row>
    <row r="97" spans="1:4">
      <c r="A97" s="30" t="s">
        <v>123</v>
      </c>
      <c r="B97" s="30">
        <v>10</v>
      </c>
      <c r="C97" s="30">
        <v>10</v>
      </c>
      <c r="D97" s="10">
        <f t="shared" si="1"/>
        <v>0</v>
      </c>
    </row>
    <row r="98" spans="1:4">
      <c r="A98" s="31" t="s">
        <v>124</v>
      </c>
      <c r="B98" s="31">
        <v>5</v>
      </c>
      <c r="C98" s="31">
        <v>6</v>
      </c>
      <c r="D98" s="33">
        <f t="shared" si="1"/>
        <v>1</v>
      </c>
    </row>
    <row r="99" spans="1:4">
      <c r="A99" s="32" t="s">
        <v>125</v>
      </c>
      <c r="B99" s="32">
        <v>5</v>
      </c>
      <c r="C99" s="32">
        <v>4</v>
      </c>
      <c r="D99" s="34">
        <f t="shared" si="1"/>
        <v>-1</v>
      </c>
    </row>
    <row r="100" spans="1:4">
      <c r="A100" s="30" t="s">
        <v>126</v>
      </c>
      <c r="B100" s="30">
        <v>5</v>
      </c>
      <c r="C100" s="30">
        <v>5</v>
      </c>
      <c r="D100" s="10">
        <f t="shared" si="1"/>
        <v>0</v>
      </c>
    </row>
    <row r="101" spans="1:4">
      <c r="A101" s="30" t="s">
        <v>127</v>
      </c>
      <c r="B101" s="30">
        <v>5</v>
      </c>
      <c r="C101" s="30">
        <v>5</v>
      </c>
      <c r="D101" s="10">
        <f t="shared" si="1"/>
        <v>0</v>
      </c>
    </row>
    <row r="102" spans="1:4">
      <c r="A102" s="30" t="s">
        <v>128</v>
      </c>
      <c r="B102" s="30">
        <v>5</v>
      </c>
      <c r="C102" s="30">
        <v>5</v>
      </c>
      <c r="D102" s="10">
        <f t="shared" si="1"/>
        <v>0</v>
      </c>
    </row>
    <row r="103" spans="1:4">
      <c r="A103" s="30" t="s">
        <v>129</v>
      </c>
      <c r="B103" s="30">
        <v>5</v>
      </c>
      <c r="C103" s="30">
        <v>5</v>
      </c>
      <c r="D103" s="10">
        <f t="shared" si="1"/>
        <v>0</v>
      </c>
    </row>
    <row r="104" spans="1:4">
      <c r="A104" s="30" t="s">
        <v>130</v>
      </c>
      <c r="B104" s="30">
        <v>10</v>
      </c>
      <c r="C104" s="30">
        <v>10</v>
      </c>
      <c r="D104" s="10">
        <f t="shared" si="1"/>
        <v>0</v>
      </c>
    </row>
    <row r="105" spans="1:4">
      <c r="A105" s="30" t="s">
        <v>131</v>
      </c>
      <c r="B105" s="30">
        <v>10</v>
      </c>
      <c r="C105" s="30">
        <v>10</v>
      </c>
      <c r="D105" s="10">
        <f t="shared" si="1"/>
        <v>0</v>
      </c>
    </row>
    <row r="106" spans="1:4">
      <c r="A106" s="30" t="s">
        <v>132</v>
      </c>
      <c r="B106" s="30">
        <v>5</v>
      </c>
      <c r="C106" s="30">
        <v>5</v>
      </c>
      <c r="D106" s="10">
        <f t="shared" si="1"/>
        <v>0</v>
      </c>
    </row>
    <row r="107" spans="1:4">
      <c r="A107" s="30" t="s">
        <v>133</v>
      </c>
      <c r="B107" s="30">
        <v>10</v>
      </c>
      <c r="C107" s="30">
        <v>10</v>
      </c>
      <c r="D107" s="10">
        <f t="shared" si="1"/>
        <v>0</v>
      </c>
    </row>
    <row r="108" spans="1:4">
      <c r="A108" s="30" t="s">
        <v>134</v>
      </c>
      <c r="B108" s="30">
        <v>5</v>
      </c>
      <c r="C108" s="30">
        <v>5</v>
      </c>
      <c r="D108" s="10">
        <f t="shared" si="1"/>
        <v>0</v>
      </c>
    </row>
    <row r="109" spans="1:4">
      <c r="A109" s="30" t="s">
        <v>135</v>
      </c>
      <c r="B109" s="30">
        <v>5</v>
      </c>
      <c r="C109" s="30">
        <v>5</v>
      </c>
      <c r="D109" s="10">
        <f t="shared" si="1"/>
        <v>0</v>
      </c>
    </row>
    <row r="110" spans="1:4">
      <c r="A110" s="30" t="s">
        <v>136</v>
      </c>
      <c r="B110" s="30">
        <v>2</v>
      </c>
      <c r="C110" s="30">
        <v>2</v>
      </c>
      <c r="D110" s="10">
        <f t="shared" si="1"/>
        <v>0</v>
      </c>
    </row>
    <row r="111" spans="1:4">
      <c r="A111" s="30" t="s">
        <v>137</v>
      </c>
      <c r="B111" s="30">
        <v>2</v>
      </c>
      <c r="C111" s="30">
        <v>2</v>
      </c>
      <c r="D111" s="10">
        <f t="shared" si="1"/>
        <v>0</v>
      </c>
    </row>
    <row r="112" spans="1:4">
      <c r="A112" s="30" t="s">
        <v>138</v>
      </c>
      <c r="B112" s="30">
        <v>10</v>
      </c>
      <c r="C112" s="30">
        <v>10</v>
      </c>
      <c r="D112" s="10">
        <f t="shared" si="1"/>
        <v>0</v>
      </c>
    </row>
    <row r="113" spans="1:4">
      <c r="A113" s="30" t="s">
        <v>139</v>
      </c>
      <c r="B113" s="30">
        <v>10</v>
      </c>
      <c r="C113" s="30">
        <v>10</v>
      </c>
      <c r="D113" s="10">
        <f t="shared" si="1"/>
        <v>0</v>
      </c>
    </row>
    <row r="114" spans="1:4">
      <c r="A114" s="30" t="s">
        <v>140</v>
      </c>
      <c r="B114" s="30">
        <v>5</v>
      </c>
      <c r="C114" s="30">
        <v>5</v>
      </c>
      <c r="D114" s="10">
        <f t="shared" si="1"/>
        <v>0</v>
      </c>
    </row>
    <row r="115" spans="1:4">
      <c r="A115" s="30" t="s">
        <v>141</v>
      </c>
      <c r="B115" s="30">
        <v>10</v>
      </c>
      <c r="C115" s="30">
        <v>10</v>
      </c>
      <c r="D115" s="10">
        <f t="shared" si="1"/>
        <v>0</v>
      </c>
    </row>
    <row r="116" spans="1:4">
      <c r="A116" s="30" t="s">
        <v>142</v>
      </c>
      <c r="B116" s="30">
        <v>5</v>
      </c>
      <c r="C116" s="30">
        <v>5</v>
      </c>
      <c r="D116" s="10">
        <f t="shared" si="1"/>
        <v>0</v>
      </c>
    </row>
    <row r="117" spans="1:4">
      <c r="A117" s="32" t="s">
        <v>143</v>
      </c>
      <c r="B117" s="32">
        <v>5</v>
      </c>
      <c r="C117" s="32">
        <v>2</v>
      </c>
      <c r="D117" s="34">
        <f t="shared" si="1"/>
        <v>-3</v>
      </c>
    </row>
    <row r="118" spans="1:4">
      <c r="A118" s="30" t="s">
        <v>144</v>
      </c>
      <c r="B118" s="30">
        <v>10</v>
      </c>
      <c r="C118" s="30">
        <v>10</v>
      </c>
      <c r="D118" s="10">
        <f t="shared" si="1"/>
        <v>0</v>
      </c>
    </row>
    <row r="119" spans="1:4">
      <c r="A119" s="30" t="s">
        <v>145</v>
      </c>
      <c r="B119" s="30">
        <v>10</v>
      </c>
      <c r="C119" s="30">
        <v>10</v>
      </c>
      <c r="D119" s="10">
        <f t="shared" si="1"/>
        <v>0</v>
      </c>
    </row>
    <row r="120" spans="1:4">
      <c r="A120" s="31" t="s">
        <v>146</v>
      </c>
      <c r="B120" s="31">
        <v>10</v>
      </c>
      <c r="C120" s="31">
        <v>17</v>
      </c>
      <c r="D120" s="33">
        <f t="shared" si="1"/>
        <v>7</v>
      </c>
    </row>
    <row r="121" spans="1:4">
      <c r="A121" s="32" t="s">
        <v>147</v>
      </c>
      <c r="B121" s="32">
        <v>10</v>
      </c>
      <c r="C121" s="32">
        <v>3</v>
      </c>
      <c r="D121" s="34">
        <f t="shared" si="1"/>
        <v>-7</v>
      </c>
    </row>
    <row r="122" spans="1:4">
      <c r="A122" s="30" t="s">
        <v>148</v>
      </c>
      <c r="B122" s="30">
        <v>10</v>
      </c>
      <c r="C122" s="30">
        <v>10</v>
      </c>
      <c r="D122" s="10">
        <f t="shared" si="1"/>
        <v>0</v>
      </c>
    </row>
    <row r="123" spans="1:4">
      <c r="A123" s="30" t="s">
        <v>149</v>
      </c>
      <c r="B123" s="30">
        <v>10</v>
      </c>
      <c r="C123" s="30">
        <v>10</v>
      </c>
      <c r="D123" s="10">
        <f t="shared" si="1"/>
        <v>0</v>
      </c>
    </row>
    <row r="124" spans="1:4">
      <c r="A124" s="30" t="s">
        <v>150</v>
      </c>
      <c r="B124" s="30">
        <v>10</v>
      </c>
      <c r="C124" s="30">
        <v>10</v>
      </c>
      <c r="D124" s="10">
        <f t="shared" si="1"/>
        <v>0</v>
      </c>
    </row>
    <row r="125" spans="1:4">
      <c r="A125" s="30" t="s">
        <v>151</v>
      </c>
      <c r="B125" s="30">
        <v>10</v>
      </c>
      <c r="C125" s="30">
        <v>10</v>
      </c>
      <c r="D125" s="10">
        <f t="shared" si="1"/>
        <v>0</v>
      </c>
    </row>
    <row r="126" spans="1:4">
      <c r="A126" s="30" t="s">
        <v>152</v>
      </c>
      <c r="B126" s="30">
        <v>10</v>
      </c>
      <c r="C126" s="30">
        <v>10</v>
      </c>
      <c r="D126" s="10">
        <f t="shared" si="1"/>
        <v>0</v>
      </c>
    </row>
    <row r="127" spans="1:4">
      <c r="A127" s="30" t="s">
        <v>153</v>
      </c>
      <c r="B127" s="30">
        <v>10</v>
      </c>
      <c r="C127" s="30">
        <v>10</v>
      </c>
      <c r="D127" s="10">
        <f t="shared" si="1"/>
        <v>0</v>
      </c>
    </row>
    <row r="128" spans="1:4">
      <c r="A128" s="30" t="s">
        <v>154</v>
      </c>
      <c r="B128" s="30">
        <v>10</v>
      </c>
      <c r="C128" s="30">
        <v>10</v>
      </c>
      <c r="D128" s="10">
        <f t="shared" si="1"/>
        <v>0</v>
      </c>
    </row>
    <row r="129" spans="1:4">
      <c r="A129" s="30" t="s">
        <v>155</v>
      </c>
      <c r="B129" s="30">
        <v>5</v>
      </c>
      <c r="C129" s="30">
        <v>5</v>
      </c>
      <c r="D129" s="10">
        <f t="shared" si="1"/>
        <v>0</v>
      </c>
    </row>
    <row r="130" spans="1:4">
      <c r="A130" s="30" t="s">
        <v>156</v>
      </c>
      <c r="B130" s="30">
        <v>2</v>
      </c>
      <c r="C130" s="30">
        <v>2</v>
      </c>
      <c r="D130" s="10">
        <f t="shared" si="1"/>
        <v>0</v>
      </c>
    </row>
    <row r="131" spans="1:4">
      <c r="A131" s="30" t="s">
        <v>157</v>
      </c>
      <c r="B131" s="30">
        <v>2</v>
      </c>
      <c r="C131" s="30">
        <v>2</v>
      </c>
      <c r="D131" s="10">
        <f t="shared" ref="D131" si="2">C131-B131</f>
        <v>0</v>
      </c>
    </row>
  </sheetData>
  <autoFilter ref="A1:D131" xr:uid="{52F6BB37-5D51-4EB3-9FCA-2C4B208E707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Репина</dc:creator>
  <cp:lastModifiedBy>Макеева Ирина</cp:lastModifiedBy>
  <cp:lastPrinted>2026-09-07T05:39:54Z</cp:lastPrinted>
  <dcterms:created xsi:type="dcterms:W3CDTF">2023-04-05T13:50:10Z</dcterms:created>
  <dcterms:modified xsi:type="dcterms:W3CDTF">2026-09-18T08:43:09Z</dcterms:modified>
</cp:coreProperties>
</file>