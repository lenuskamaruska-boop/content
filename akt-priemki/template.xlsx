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92.168.20.3\обмен_босфор\О продукции\Машины\2026\!Акт приемки по инвойсу и упаковочному- автоматизация акта приемки по ИИ\"/>
    </mc:Choice>
  </mc:AlternateContent>
  <xr:revisionPtr revIDLastSave="0" documentId="13_ncr:1_{D35F320E-18F3-4BE6-9A8E-65819EB1363D}" xr6:coauthVersionLast="36" xr6:coauthVersionMax="45" xr10:uidLastSave="{00000000-0000-0000-0000-000000000000}"/>
  <bookViews>
    <workbookView xWindow="0" yWindow="0" windowWidth="15330" windowHeight="6360" xr2:uid="{00000000-000D-0000-FFFF-FFFF00000000}"/>
  </bookViews>
  <sheets>
    <sheet name="Отгрузка ЭМАС 3.1 в 2026" sheetId="13" r:id="rId1"/>
    <sheet name="Затраты на доставку и ТО" sheetId="12" r:id="rId2"/>
  </sheets>
  <definedNames>
    <definedName name="_FilterDatabase" localSheetId="0" hidden="1">'Отгрузка ЭМАС 3.1 в 2026'!$B$25:$U$73</definedName>
    <definedName name="Print_Area" localSheetId="0">'Отгрузка ЭМАС 3.1 в 2026'!$A$1:$U$84</definedName>
  </definedNames>
  <calcPr calcId="191029"/>
</workbook>
</file>

<file path=xl/calcChain.xml><?xml version="1.0" encoding="utf-8"?>
<calcChain xmlns="http://schemas.openxmlformats.org/spreadsheetml/2006/main">
  <c r="I28" i="13" l="1"/>
  <c r="K28" i="13" s="1"/>
  <c r="L14" i="12" l="1"/>
  <c r="K40" i="13" l="1"/>
  <c r="O11" i="12" l="1"/>
  <c r="M11" i="12"/>
  <c r="K11" i="12"/>
  <c r="I11" i="12"/>
  <c r="G11" i="12"/>
  <c r="B12" i="12"/>
  <c r="E10" i="12"/>
  <c r="E11" i="12"/>
  <c r="B5" i="12"/>
  <c r="B4" i="12"/>
  <c r="A2" i="12"/>
  <c r="E12" i="12" l="1"/>
  <c r="K65" i="13"/>
  <c r="T76" i="13"/>
  <c r="U80" i="13"/>
  <c r="D73" i="13"/>
  <c r="S72" i="13"/>
  <c r="S71" i="13"/>
  <c r="K66" i="13"/>
  <c r="Q73" i="13" l="1"/>
  <c r="I73" i="13"/>
  <c r="K73" i="13"/>
  <c r="K67" i="13"/>
  <c r="S73" i="13"/>
  <c r="G73" i="13"/>
  <c r="M73" i="13"/>
  <c r="O73" i="13"/>
  <c r="K68" i="13" l="1"/>
  <c r="L68" i="13" s="1"/>
  <c r="I12" i="12"/>
  <c r="B6" i="12"/>
  <c r="Q11" i="12"/>
  <c r="Q10" i="12"/>
  <c r="M12" i="12" l="1"/>
  <c r="Q12" i="12"/>
  <c r="O12" i="12"/>
  <c r="G12" i="12"/>
  <c r="K1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Репина</author>
  </authors>
  <commentList>
    <comment ref="G72" authorId="0" shapeId="0" xr:uid="{BB6CBA5B-790B-49F6-B89F-2989AB91733D}">
      <text>
        <r>
          <rPr>
            <b/>
            <sz val="9"/>
            <color indexed="81"/>
            <rFont val="Tahoma"/>
            <family val="2"/>
            <charset val="204"/>
          </rPr>
          <t>Репина:</t>
        </r>
        <r>
          <rPr>
            <sz val="9"/>
            <color indexed="81"/>
            <rFont val="Tahoma"/>
            <family val="2"/>
            <charset val="204"/>
          </rPr>
          <t xml:space="preserve">
нет НДС</t>
        </r>
      </text>
    </comment>
    <comment ref="I72" authorId="0" shapeId="0" xr:uid="{DD8F6168-8DD2-483E-B618-BE27EB83FDAE}">
      <text>
        <r>
          <rPr>
            <b/>
            <sz val="9"/>
            <color indexed="81"/>
            <rFont val="Tahoma"/>
            <family val="2"/>
            <charset val="204"/>
          </rPr>
          <t>Репина:</t>
        </r>
        <r>
          <rPr>
            <sz val="9"/>
            <color indexed="81"/>
            <rFont val="Tahoma"/>
            <family val="2"/>
            <charset val="204"/>
          </rPr>
          <t xml:space="preserve">
без ндс</t>
        </r>
      </text>
    </comment>
    <comment ref="K72" authorId="0" shapeId="0" xr:uid="{763F422B-874A-484E-84FF-D484D827A0EB}">
      <text>
        <r>
          <rPr>
            <b/>
            <sz val="9"/>
            <color indexed="81"/>
            <rFont val="Tahoma"/>
            <family val="2"/>
            <charset val="204"/>
          </rPr>
          <t>Репина:</t>
        </r>
        <r>
          <rPr>
            <sz val="9"/>
            <color indexed="81"/>
            <rFont val="Tahoma"/>
            <family val="2"/>
            <charset val="204"/>
          </rPr>
          <t xml:space="preserve">
нет НДС</t>
        </r>
      </text>
    </comment>
  </commentList>
</comments>
</file>

<file path=xl/sharedStrings.xml><?xml version="1.0" encoding="utf-8"?>
<sst xmlns="http://schemas.openxmlformats.org/spreadsheetml/2006/main" count="150" uniqueCount="77">
  <si>
    <t>Номенклатура</t>
  </si>
  <si>
    <t>Этапы сверки</t>
  </si>
  <si>
    <t>Ответственный</t>
  </si>
  <si>
    <t>Расхождения между упаковочным листом и инвойсом</t>
  </si>
  <si>
    <t>Расхождения между  упаковочным листом и пришедшим товаром</t>
  </si>
  <si>
    <t>Руководитель предприятия</t>
  </si>
  <si>
    <t xml:space="preserve"> Этапы сверки</t>
  </si>
  <si>
    <t>Расхождение по сумме поступлений и инвойса</t>
  </si>
  <si>
    <t>УТВЕРЖДАЮ:</t>
  </si>
  <si>
    <t xml:space="preserve"> Алтухова Е.А. __________________ </t>
  </si>
  <si>
    <t>Нет</t>
  </si>
  <si>
    <t>№
п/п</t>
  </si>
  <si>
    <t>евро</t>
  </si>
  <si>
    <t>Пошлина</t>
  </si>
  <si>
    <t>рубли</t>
  </si>
  <si>
    <t>НДС</t>
  </si>
  <si>
    <t>Кол-во, шт</t>
  </si>
  <si>
    <t>Затраты на доставку и ТО</t>
  </si>
  <si>
    <t>о приёмке товарно-материальных ценностей</t>
  </si>
  <si>
    <t>EMAS инвойс</t>
  </si>
  <si>
    <t>Поступление:</t>
  </si>
  <si>
    <t>Мы, нижеподписавшиеся, составили настоящий акт о приёмке товарно-материальных ценностей:</t>
  </si>
  <si>
    <t>факт</t>
  </si>
  <si>
    <t>∆</t>
  </si>
  <si>
    <t>Расхождения по ценам инвойса и входным в программе 1С</t>
  </si>
  <si>
    <t>Главный бухгалтер:</t>
  </si>
  <si>
    <t>%</t>
  </si>
  <si>
    <t>Таможенный сбор</t>
  </si>
  <si>
    <t>EMAS</t>
  </si>
  <si>
    <t>Инвойс</t>
  </si>
  <si>
    <t>К =1€ / 1$</t>
  </si>
  <si>
    <t>валюта</t>
  </si>
  <si>
    <t>1$ доллар</t>
  </si>
  <si>
    <t>₱ рубль</t>
  </si>
  <si>
    <t>поставщик</t>
  </si>
  <si>
    <t>Оплатили по факту и
% от инвойса</t>
  </si>
  <si>
    <t>Цена за ед.,
евро
(EXW)</t>
  </si>
  <si>
    <t>Итого,
евро
(EXW)</t>
  </si>
  <si>
    <t>Примечание</t>
  </si>
  <si>
    <t>1евро</t>
  </si>
  <si>
    <t>Итого:</t>
  </si>
  <si>
    <t>в инвойсе</t>
  </si>
  <si>
    <t>Заказ поставщику</t>
  </si>
  <si>
    <t>Состояние упаковки (вскрытая, потертая, помятая, рваная и т.д.) – удовлетворительное.</t>
  </si>
  <si>
    <t>Продакт-менеджер:</t>
  </si>
  <si>
    <t>/ А.С. Мосеенков</t>
  </si>
  <si>
    <t>EUR</t>
  </si>
  <si>
    <t xml:space="preserve">Начальник склада:  </t>
  </si>
  <si>
    <t xml:space="preserve">1. Стоимость товара согласно таможенным документам (сумма в инвойсе) составила: </t>
  </si>
  <si>
    <t>2. Стоимость фактического поступившего товара с оприходованием и недостачей составила:</t>
  </si>
  <si>
    <t>3. Разница в стоимости между фактическим поступлением и инвойсом составляет:</t>
  </si>
  <si>
    <t>Расхождения между инвойсом и заказом поставщику (справочно)</t>
  </si>
  <si>
    <t>Стоимость доставки до границы ("КВТ Сервис")</t>
  </si>
  <si>
    <t>Стоимость доставки РФ + Брокер ("КВТ Сервис")</t>
  </si>
  <si>
    <t>Погрузо-разгрузочные 
работы ("КВТ Сервис")</t>
  </si>
  <si>
    <t xml:space="preserve">Дата ТО (таможенного оформления): </t>
  </si>
  <si>
    <t>г.</t>
  </si>
  <si>
    <t xml:space="preserve"> г.</t>
  </si>
  <si>
    <t>Дата выезда продукции (товара) из г. Стамбул:</t>
  </si>
  <si>
    <t>Дата поступления продукции (товара) на склад:</t>
  </si>
  <si>
    <t>Дата забора груза от отправителя:</t>
  </si>
  <si>
    <t>Курс валют на:</t>
  </si>
  <si>
    <t>доллар</t>
  </si>
  <si>
    <t>Валюта</t>
  </si>
  <si>
    <t>/ Мосеенков А.С.</t>
  </si>
  <si>
    <t>/А.И. Никулин</t>
  </si>
  <si>
    <t xml:space="preserve"> "____" _________________ 2026 г.</t>
  </si>
  <si>
    <t>/ И.В. Макеева</t>
  </si>
  <si>
    <t>Макеева И.В.</t>
  </si>
  <si>
    <t>Макеева И.В.
Никулин А.И.</t>
  </si>
  <si>
    <t>"  " апреля 2026 г.</t>
  </si>
  <si>
    <t>/ Макеева И.В.</t>
  </si>
  <si>
    <t>"  "                 2026г.</t>
  </si>
  <si>
    <t xml:space="preserve">Акт № </t>
  </si>
  <si>
    <t xml:space="preserve">от </t>
  </si>
  <si>
    <t xml:space="preserve">Инвойс от </t>
  </si>
  <si>
    <t>Упаковочный лист (количество мест,  вес, объем) 0 коробок, 0 паллет, 0 м³, вес брутто - 0 кг, вес нетто - 0 кг.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</si>
</sst>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\ _₽_-;\-* #,##0.00\ _₽_-;_-* &quot;-&quot;??\ _₽_-;_-@_-"/>
    <numFmt numFmtId="164" formatCode="_-* #,##0.00_-;\-* #,##0.00_-;_-* &quot;-&quot;??_-;_-@_-"/>
    <numFmt numFmtId="165" formatCode="0.0000"/>
    <numFmt numFmtId="166" formatCode="#,##0.00_ ;\-#,##0.00\ "/>
    <numFmt numFmtId="167" formatCode="General_)"/>
    <numFmt numFmtId="168" formatCode="_-[$€-2]\ * #,##0.00_-;\-[$€-2]\ * #,##0.00_-;_-[$€-2]\ * &quot;-&quot;??_-;_-@_-"/>
    <numFmt numFmtId="169" formatCode="_-* #,##0\ _T_L_-;\-* #,##0\ _T_L_-;_-* &quot;-&quot;\ _T_L_-;_-@_-"/>
    <numFmt numFmtId="170" formatCode="_-* #,##0.00\ &quot;TL&quot;_-;\-* #,##0.00\ &quot;TL&quot;_-;_-* &quot;-&quot;??\ &quot;TL&quot;_-;_-@_-"/>
    <numFmt numFmtId="171" formatCode="_-* #,##0.00\ _T_L_-;\-* #,##0.00\ _T_L_-;_-* &quot;-&quot;??\ _T_L_-;_-@_-"/>
    <numFmt numFmtId="172" formatCode="_-* #,##0.00\ _₺_-;\-* #,##0.00\ _₺_-;_-* &quot;-&quot;??\ _₺_-;_-@_-"/>
    <numFmt numFmtId="173" formatCode="[$-41F]General"/>
    <numFmt numFmtId="174" formatCode="[$-41F]0%"/>
    <numFmt numFmtId="175" formatCode="#,##0.00[$YTL-41F];[Red]&quot;-&quot;#,##0.00[$YTL-41F]"/>
    <numFmt numFmtId="176" formatCode="_-&quot;R$&quot;\ * #,##0.00_-;\-&quot;R$&quot;\ * #,##0.00_-;_-&quot;R$&quot;\ * &quot;-&quot;??_-;_-@_-"/>
  </numFmts>
  <fonts count="61">
    <font>
      <sz val="11"/>
      <color theme="1"/>
      <name val="Calibri"/>
      <family val="2"/>
      <charset val="204"/>
      <scheme val="minor"/>
    </font>
    <font>
      <sz val="10"/>
      <name val="MS Sans Serif"/>
      <family val="2"/>
      <charset val="162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Calibri"/>
      <family val="2"/>
      <charset val="162"/>
      <scheme val="minor"/>
    </font>
    <font>
      <sz val="10"/>
      <name val="Times New Roman"/>
      <family val="1"/>
      <charset val="162"/>
    </font>
    <font>
      <sz val="10"/>
      <name val="Courier"/>
      <family val="3"/>
    </font>
    <font>
      <sz val="10"/>
      <name val="Arial"/>
      <family val="2"/>
      <charset val="16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9.8000000000000007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8"/>
      <name val="Arial"/>
      <family val="2"/>
      <charset val="204"/>
    </font>
    <font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Courier"/>
    </font>
    <font>
      <sz val="10"/>
      <name val="Arial Tur"/>
      <charset val="162"/>
    </font>
    <font>
      <sz val="10"/>
      <name val="Arial Tur"/>
      <family val="2"/>
      <charset val="162"/>
    </font>
    <font>
      <sz val="10"/>
      <name val="Courier"/>
      <family val="1"/>
      <charset val="162"/>
    </font>
    <font>
      <sz val="10"/>
      <name val="Times New Roman TUR"/>
      <charset val="162"/>
    </font>
    <font>
      <sz val="11"/>
      <color indexed="8"/>
      <name val="Calibri"/>
      <family val="2"/>
      <charset val="162"/>
    </font>
    <font>
      <sz val="11"/>
      <color rgb="FF000000"/>
      <name val="Arial"/>
      <family val="2"/>
      <charset val="162"/>
    </font>
    <font>
      <sz val="11"/>
      <color rgb="FF000000"/>
      <name val="Calibri"/>
      <family val="2"/>
      <charset val="162"/>
    </font>
    <font>
      <b/>
      <i/>
      <sz val="16"/>
      <color theme="1"/>
      <name val="Arial"/>
      <family val="2"/>
      <charset val="162"/>
    </font>
    <font>
      <b/>
      <i/>
      <sz val="16"/>
      <color rgb="FF000000"/>
      <name val="Arial"/>
      <family val="2"/>
      <charset val="162"/>
    </font>
    <font>
      <u/>
      <sz val="11"/>
      <color theme="10"/>
      <name val="Calibri"/>
      <family val="2"/>
      <charset val="134"/>
      <scheme val="minor"/>
    </font>
    <font>
      <u/>
      <sz val="11"/>
      <color theme="10"/>
      <name val="Calibri"/>
      <family val="2"/>
      <charset val="162"/>
    </font>
    <font>
      <sz val="11"/>
      <color theme="1"/>
      <name val="Calibri"/>
      <family val="2"/>
      <charset val="134"/>
      <scheme val="minor"/>
    </font>
    <font>
      <sz val="10"/>
      <color rgb="FF000000"/>
      <name val="Times New Roman"/>
      <family val="1"/>
      <charset val="162"/>
    </font>
    <font>
      <sz val="11"/>
      <color theme="1"/>
      <name val="Arial"/>
      <family val="2"/>
      <charset val="162"/>
    </font>
    <font>
      <b/>
      <i/>
      <u/>
      <sz val="11"/>
      <color theme="1"/>
      <name val="Arial"/>
      <family val="2"/>
      <charset val="162"/>
    </font>
    <font>
      <b/>
      <i/>
      <u/>
      <sz val="11"/>
      <color rgb="FF000000"/>
      <name val="Arial"/>
      <family val="2"/>
      <charset val="162"/>
    </font>
    <font>
      <sz val="10"/>
      <name val="Helv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40">
    <xf numFmtId="0" fontId="0" fillId="0" borderId="0"/>
    <xf numFmtId="0" fontId="1" fillId="0" borderId="0"/>
    <xf numFmtId="43" fontId="5" fillId="0" borderId="0" applyFont="0" applyFill="0" applyBorder="0" applyAlignment="0" applyProtection="0"/>
    <xf numFmtId="0" fontId="6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6" fillId="0" borderId="0">
      <alignment horizontal="left"/>
    </xf>
    <xf numFmtId="0" fontId="8" fillId="0" borderId="0"/>
    <xf numFmtId="0" fontId="9" fillId="0" borderId="0"/>
    <xf numFmtId="167" fontId="10" fillId="0" borderId="0"/>
    <xf numFmtId="9" fontId="11" fillId="0" borderId="0" applyFont="0" applyFill="0" applyBorder="0" applyAlignment="0" applyProtection="0"/>
    <xf numFmtId="0" fontId="5" fillId="0" borderId="0"/>
    <xf numFmtId="0" fontId="13" fillId="0" borderId="0"/>
    <xf numFmtId="0" fontId="12" fillId="0" borderId="0"/>
    <xf numFmtId="0" fontId="12" fillId="0" borderId="0"/>
    <xf numFmtId="0" fontId="7" fillId="0" borderId="0">
      <alignment vertical="top"/>
    </xf>
    <xf numFmtId="0" fontId="7" fillId="0" borderId="0">
      <alignment vertical="top"/>
    </xf>
    <xf numFmtId="43" fontId="5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5" fillId="0" borderId="0"/>
    <xf numFmtId="0" fontId="7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>
      <alignment vertical="top"/>
    </xf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4" fillId="0" borderId="0"/>
    <xf numFmtId="0" fontId="7" fillId="0" borderId="0">
      <alignment vertical="top"/>
    </xf>
    <xf numFmtId="0" fontId="5" fillId="0" borderId="0"/>
    <xf numFmtId="0" fontId="5" fillId="0" borderId="0"/>
    <xf numFmtId="0" fontId="26" fillId="0" borderId="44" applyNumberFormat="0" applyFill="0" applyAlignment="0" applyProtection="0"/>
    <xf numFmtId="0" fontId="27" fillId="0" borderId="45" applyNumberFormat="0" applyFill="0" applyAlignment="0" applyProtection="0"/>
    <xf numFmtId="0" fontId="28" fillId="0" borderId="46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47" applyNumberFormat="0" applyAlignment="0" applyProtection="0"/>
    <xf numFmtId="0" fontId="33" fillId="6" borderId="48" applyNumberFormat="0" applyAlignment="0" applyProtection="0"/>
    <xf numFmtId="0" fontId="34" fillId="6" borderId="47" applyNumberFormat="0" applyAlignment="0" applyProtection="0"/>
    <xf numFmtId="0" fontId="35" fillId="0" borderId="49" applyNumberFormat="0" applyFill="0" applyAlignment="0" applyProtection="0"/>
    <xf numFmtId="0" fontId="36" fillId="7" borderId="50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52" applyNumberFormat="0" applyFill="0" applyAlignment="0" applyProtection="0"/>
    <xf numFmtId="0" fontId="40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40" fillId="32" borderId="0" applyNumberFormat="0" applyBorder="0" applyAlignment="0" applyProtection="0"/>
    <xf numFmtId="167" fontId="41" fillId="0" borderId="0"/>
    <xf numFmtId="0" fontId="46" fillId="33" borderId="0" applyNumberFormat="0" applyBorder="0" applyAlignment="0" applyProtection="0"/>
    <xf numFmtId="0" fontId="25" fillId="0" borderId="0" applyNumberFormat="0" applyFill="0" applyBorder="0" applyAlignment="0" applyProtection="0"/>
    <xf numFmtId="171" fontId="11" fillId="0" borderId="0" applyFont="0" applyFill="0" applyBorder="0" applyAlignment="0" applyProtection="0"/>
    <xf numFmtId="173" fontId="47" fillId="0" borderId="0"/>
    <xf numFmtId="173" fontId="48" fillId="0" borderId="0"/>
    <xf numFmtId="173" fontId="48" fillId="0" borderId="0"/>
    <xf numFmtId="173" fontId="48" fillId="0" borderId="0" applyBorder="0" applyProtection="0"/>
    <xf numFmtId="173" fontId="48" fillId="0" borderId="0" applyBorder="0" applyProtection="0"/>
    <xf numFmtId="173" fontId="47" fillId="0" borderId="0"/>
    <xf numFmtId="173" fontId="47" fillId="0" borderId="0" applyFont="0" applyBorder="0" applyProtection="0"/>
    <xf numFmtId="173" fontId="47" fillId="0" borderId="0" applyFont="0" applyBorder="0" applyProtection="0"/>
    <xf numFmtId="173" fontId="47" fillId="0" borderId="0" applyFont="0" applyBorder="0" applyProtection="0"/>
    <xf numFmtId="174" fontId="47" fillId="0" borderId="0"/>
    <xf numFmtId="174" fontId="47" fillId="0" borderId="0"/>
    <xf numFmtId="174" fontId="47" fillId="0" borderId="0" applyFont="0" applyBorder="0" applyProtection="0"/>
    <xf numFmtId="174" fontId="48" fillId="0" borderId="0"/>
    <xf numFmtId="174" fontId="47" fillId="0" borderId="0"/>
    <xf numFmtId="174" fontId="47" fillId="0" borderId="0" applyFont="0" applyBorder="0" applyProtection="0"/>
    <xf numFmtId="174" fontId="47" fillId="0" borderId="0" applyFont="0" applyBorder="0" applyProtection="0"/>
    <xf numFmtId="0" fontId="49" fillId="0" borderId="0">
      <alignment horizontal="center"/>
    </xf>
    <xf numFmtId="173" fontId="50" fillId="0" borderId="0">
      <alignment horizontal="center"/>
    </xf>
    <xf numFmtId="173" fontId="50" fillId="0" borderId="0" applyBorder="0" applyProtection="0">
      <alignment horizontal="center"/>
    </xf>
    <xf numFmtId="173" fontId="50" fillId="0" borderId="0">
      <alignment horizontal="center"/>
    </xf>
    <xf numFmtId="173" fontId="50" fillId="0" borderId="0" applyBorder="0" applyProtection="0">
      <alignment horizontal="center"/>
    </xf>
    <xf numFmtId="173" fontId="50" fillId="0" borderId="0" applyBorder="0" applyProtection="0">
      <alignment horizontal="center"/>
    </xf>
    <xf numFmtId="0" fontId="50" fillId="0" borderId="0" applyNumberFormat="0" applyBorder="0" applyProtection="0">
      <alignment horizontal="center"/>
    </xf>
    <xf numFmtId="0" fontId="49" fillId="0" borderId="0">
      <alignment horizontal="center" textRotation="90"/>
    </xf>
    <xf numFmtId="173" fontId="50" fillId="0" borderId="0">
      <alignment horizontal="center" textRotation="90"/>
    </xf>
    <xf numFmtId="173" fontId="50" fillId="0" borderId="0" applyBorder="0" applyProtection="0">
      <alignment horizontal="center" textRotation="90"/>
    </xf>
    <xf numFmtId="173" fontId="50" fillId="0" borderId="0">
      <alignment horizontal="center" textRotation="90"/>
    </xf>
    <xf numFmtId="173" fontId="50" fillId="0" borderId="0" applyBorder="0" applyProtection="0">
      <alignment horizontal="center" textRotation="90"/>
    </xf>
    <xf numFmtId="173" fontId="50" fillId="0" borderId="0" applyBorder="0" applyProtection="0">
      <alignment horizontal="center" textRotation="90"/>
    </xf>
    <xf numFmtId="0" fontId="50" fillId="0" borderId="0" applyNumberFormat="0" applyBorder="0" applyProtection="0">
      <alignment horizontal="center" textRotation="90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3" fontId="48" fillId="0" borderId="0">
      <alignment vertical="center"/>
    </xf>
    <xf numFmtId="0" fontId="53" fillId="0" borderId="0">
      <alignment vertical="center"/>
    </xf>
    <xf numFmtId="173" fontId="48" fillId="0" borderId="0">
      <alignment vertical="center"/>
    </xf>
    <xf numFmtId="167" fontId="44" fillId="0" borderId="0"/>
    <xf numFmtId="0" fontId="13" fillId="0" borderId="0"/>
    <xf numFmtId="173" fontId="48" fillId="0" borderId="0" applyBorder="0" applyProtection="0">
      <alignment vertical="center"/>
    </xf>
    <xf numFmtId="0" fontId="4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8" fillId="0" borderId="0"/>
    <xf numFmtId="0" fontId="8" fillId="0" borderId="0"/>
    <xf numFmtId="0" fontId="13" fillId="0" borderId="0"/>
    <xf numFmtId="0" fontId="53" fillId="0" borderId="0">
      <alignment vertical="center"/>
    </xf>
    <xf numFmtId="167" fontId="10" fillId="0" borderId="0"/>
    <xf numFmtId="0" fontId="53" fillId="0" borderId="0">
      <alignment vertical="center"/>
    </xf>
    <xf numFmtId="167" fontId="44" fillId="0" borderId="0"/>
    <xf numFmtId="0" fontId="53" fillId="0" borderId="0">
      <alignment vertical="center"/>
    </xf>
    <xf numFmtId="0" fontId="8" fillId="0" borderId="0"/>
    <xf numFmtId="0" fontId="53" fillId="0" borderId="0">
      <alignment vertical="center"/>
    </xf>
    <xf numFmtId="167" fontId="44" fillId="0" borderId="0"/>
    <xf numFmtId="0" fontId="53" fillId="0" borderId="0">
      <alignment vertical="center"/>
    </xf>
    <xf numFmtId="0" fontId="8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45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67" fontId="10" fillId="0" borderId="0"/>
    <xf numFmtId="0" fontId="11" fillId="0" borderId="0"/>
    <xf numFmtId="0" fontId="8" fillId="0" borderId="0"/>
    <xf numFmtId="0" fontId="8" fillId="0" borderId="0"/>
    <xf numFmtId="0" fontId="11" fillId="0" borderId="0"/>
    <xf numFmtId="0" fontId="46" fillId="0" borderId="0"/>
    <xf numFmtId="167" fontId="10" fillId="0" borderId="0"/>
    <xf numFmtId="0" fontId="54" fillId="0" borderId="0"/>
    <xf numFmtId="0" fontId="8" fillId="0" borderId="0"/>
    <xf numFmtId="0" fontId="54" fillId="0" borderId="0"/>
    <xf numFmtId="0" fontId="55" fillId="0" borderId="0"/>
    <xf numFmtId="0" fontId="11" fillId="0" borderId="0"/>
    <xf numFmtId="0" fontId="8" fillId="0" borderId="0"/>
    <xf numFmtId="0" fontId="54" fillId="0" borderId="0"/>
    <xf numFmtId="0" fontId="8" fillId="0" borderId="0"/>
    <xf numFmtId="167" fontId="10" fillId="0" borderId="0"/>
    <xf numFmtId="0" fontId="4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3" fillId="0" borderId="0"/>
    <xf numFmtId="0" fontId="11" fillId="0" borderId="0"/>
    <xf numFmtId="0" fontId="8" fillId="0" borderId="0"/>
    <xf numFmtId="0" fontId="11" fillId="0" borderId="0"/>
    <xf numFmtId="0" fontId="55" fillId="0" borderId="0"/>
    <xf numFmtId="0" fontId="8" fillId="0" borderId="0"/>
    <xf numFmtId="0" fontId="43" fillId="0" borderId="0"/>
    <xf numFmtId="0" fontId="53" fillId="0" borderId="0">
      <alignment vertical="center"/>
    </xf>
    <xf numFmtId="0" fontId="55" fillId="0" borderId="0"/>
    <xf numFmtId="0" fontId="11" fillId="0" borderId="0"/>
    <xf numFmtId="0" fontId="4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3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13" fillId="0" borderId="0"/>
    <xf numFmtId="0" fontId="46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8" fillId="0" borderId="0"/>
    <xf numFmtId="0" fontId="53" fillId="0" borderId="0">
      <alignment vertical="center"/>
    </xf>
    <xf numFmtId="0" fontId="8" fillId="0" borderId="0"/>
    <xf numFmtId="0" fontId="1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1" fillId="0" borderId="0"/>
    <xf numFmtId="0" fontId="53" fillId="0" borderId="0">
      <alignment vertical="center"/>
    </xf>
    <xf numFmtId="0" fontId="11" fillId="0" borderId="0"/>
    <xf numFmtId="0" fontId="8" fillId="0" borderId="0"/>
    <xf numFmtId="0" fontId="8" fillId="0" borderId="0"/>
    <xf numFmtId="167" fontId="44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67" fontId="44" fillId="0" borderId="0"/>
    <xf numFmtId="0" fontId="53" fillId="0" borderId="0">
      <alignment vertical="center"/>
    </xf>
    <xf numFmtId="167" fontId="44" fillId="0" borderId="0"/>
    <xf numFmtId="0" fontId="8" fillId="0" borderId="0"/>
    <xf numFmtId="0" fontId="11" fillId="0" borderId="0"/>
    <xf numFmtId="0" fontId="46" fillId="0" borderId="0"/>
    <xf numFmtId="0" fontId="8" fillId="0" borderId="0"/>
    <xf numFmtId="0" fontId="1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67" fontId="44" fillId="0" borderId="0"/>
    <xf numFmtId="0" fontId="53" fillId="0" borderId="0">
      <alignment vertical="center"/>
    </xf>
    <xf numFmtId="0" fontId="8" fillId="0" borderId="0"/>
    <xf numFmtId="0" fontId="8" fillId="0" borderId="0"/>
    <xf numFmtId="0" fontId="48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3" fillId="8" borderId="51" applyNumberFormat="0" applyFont="0" applyAlignment="0" applyProtection="0"/>
    <xf numFmtId="0" fontId="8" fillId="8" borderId="51" applyNumberFormat="0" applyFont="0" applyAlignment="0" applyProtection="0"/>
    <xf numFmtId="170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56" fillId="0" borderId="0"/>
    <xf numFmtId="173" fontId="57" fillId="0" borderId="0"/>
    <xf numFmtId="173" fontId="57" fillId="0" borderId="0" applyBorder="0" applyProtection="0"/>
    <xf numFmtId="173" fontId="57" fillId="0" borderId="0"/>
    <xf numFmtId="173" fontId="57" fillId="0" borderId="0" applyBorder="0" applyProtection="0"/>
    <xf numFmtId="173" fontId="57" fillId="0" borderId="0" applyBorder="0" applyProtection="0"/>
    <xf numFmtId="0" fontId="57" fillId="0" borderId="0" applyNumberFormat="0" applyBorder="0" applyProtection="0"/>
    <xf numFmtId="175" fontId="56" fillId="0" borderId="0"/>
    <xf numFmtId="175" fontId="57" fillId="0" borderId="0"/>
    <xf numFmtId="175" fontId="57" fillId="0" borderId="0" applyBorder="0" applyProtection="0"/>
    <xf numFmtId="175" fontId="57" fillId="0" borderId="0"/>
    <xf numFmtId="175" fontId="57" fillId="0" borderId="0" applyBorder="0" applyProtection="0"/>
    <xf numFmtId="175" fontId="57" fillId="0" borderId="0" applyBorder="0" applyProtection="0"/>
    <xf numFmtId="175" fontId="57" fillId="0" borderId="0" applyBorder="0" applyProtection="0"/>
    <xf numFmtId="169" fontId="42" fillId="0" borderId="0" applyFont="0" applyFill="0" applyBorder="0" applyAlignment="0" applyProtection="0"/>
    <xf numFmtId="171" fontId="42" fillId="0" borderId="0" applyFont="0" applyFill="0" applyBorder="0" applyAlignment="0" applyProtection="0"/>
    <xf numFmtId="164" fontId="11" fillId="0" borderId="0" applyFont="0" applyFill="0" applyBorder="0" applyAlignment="0" applyProtection="0"/>
    <xf numFmtId="171" fontId="42" fillId="0" borderId="0" applyFont="0" applyFill="0" applyBorder="0" applyAlignment="0" applyProtection="0"/>
    <xf numFmtId="164" fontId="11" fillId="0" borderId="0" applyFont="0" applyFill="0" applyBorder="0" applyAlignment="0" applyProtection="0"/>
    <xf numFmtId="171" fontId="42" fillId="0" borderId="0" applyFont="0" applyFill="0" applyBorder="0" applyAlignment="0" applyProtection="0"/>
    <xf numFmtId="171" fontId="42" fillId="0" borderId="0" applyFont="0" applyFill="0" applyBorder="0" applyAlignment="0" applyProtection="0"/>
    <xf numFmtId="171" fontId="42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2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164" fontId="11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72" fontId="53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72" fontId="13" fillId="0" borderId="0" applyFont="0" applyFill="0" applyBorder="0" applyAlignment="0" applyProtection="0"/>
    <xf numFmtId="164" fontId="11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72" fontId="53" fillId="0" borderId="0" applyFont="0" applyFill="0" applyBorder="0" applyAlignment="0" applyProtection="0"/>
    <xf numFmtId="164" fontId="13" fillId="0" borderId="0" applyFont="0" applyFill="0" applyBorder="0" applyAlignment="0" applyProtection="0"/>
    <xf numFmtId="171" fontId="45" fillId="0" borderId="0" applyFont="0" applyFill="0" applyBorder="0" applyAlignment="0" applyProtection="0"/>
    <xf numFmtId="172" fontId="53" fillId="0" borderId="0" applyFont="0" applyFill="0" applyBorder="0" applyAlignment="0" applyProtection="0"/>
    <xf numFmtId="164" fontId="11" fillId="0" borderId="0" applyFont="0" applyFill="0" applyBorder="0" applyAlignment="0" applyProtection="0"/>
    <xf numFmtId="171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3" fillId="0" borderId="0" applyFont="0" applyFill="0" applyBorder="0" applyAlignment="0" applyProtection="0"/>
    <xf numFmtId="171" fontId="45" fillId="0" borderId="0" applyFont="0" applyFill="0" applyBorder="0" applyAlignment="0" applyProtection="0"/>
    <xf numFmtId="172" fontId="53" fillId="0" borderId="0" applyFont="0" applyFill="0" applyBorder="0" applyAlignment="0" applyProtection="0"/>
    <xf numFmtId="164" fontId="13" fillId="0" borderId="0" applyFont="0" applyFill="0" applyBorder="0" applyAlignment="0" applyProtection="0"/>
    <xf numFmtId="171" fontId="45" fillId="0" borderId="0" applyFont="0" applyFill="0" applyBorder="0" applyAlignment="0" applyProtection="0"/>
    <xf numFmtId="164" fontId="13" fillId="0" borderId="0" applyFont="0" applyFill="0" applyBorder="0" applyAlignment="0" applyProtection="0"/>
    <xf numFmtId="171" fontId="4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3" fillId="0" borderId="0" applyFont="0" applyFill="0" applyBorder="0" applyAlignment="0" applyProtection="0"/>
    <xf numFmtId="171" fontId="4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71" fontId="42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" fillId="0" borderId="0"/>
    <xf numFmtId="0" fontId="5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>
      <alignment vertical="top"/>
    </xf>
    <xf numFmtId="0" fontId="7" fillId="0" borderId="0">
      <alignment vertical="top"/>
    </xf>
    <xf numFmtId="0" fontId="5" fillId="0" borderId="0"/>
    <xf numFmtId="0" fontId="5" fillId="0" borderId="0"/>
    <xf numFmtId="0" fontId="7" fillId="0" borderId="0">
      <alignment vertical="top"/>
    </xf>
    <xf numFmtId="0" fontId="5" fillId="0" borderId="0"/>
    <xf numFmtId="0" fontId="12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58" fillId="0" borderId="0"/>
    <xf numFmtId="171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>
      <alignment vertical="top"/>
    </xf>
    <xf numFmtId="0" fontId="5" fillId="0" borderId="0"/>
    <xf numFmtId="0" fontId="5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316">
    <xf numFmtId="0" fontId="0" fillId="0" borderId="0" xfId="0"/>
    <xf numFmtId="0" fontId="0" fillId="0" borderId="0" xfId="0" applyAlignment="1"/>
    <xf numFmtId="0" fontId="0" fillId="0" borderId="0" xfId="0" applyFill="1" applyAlignment="1"/>
    <xf numFmtId="1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0" fontId="4" fillId="0" borderId="0" xfId="0" applyFont="1" applyFill="1"/>
    <xf numFmtId="2" fontId="3" fillId="0" borderId="0" xfId="0" applyNumberFormat="1" applyFont="1" applyFill="1"/>
    <xf numFmtId="0" fontId="3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3" fillId="0" borderId="0" xfId="0" applyFont="1" applyAlignment="1"/>
    <xf numFmtId="0" fontId="14" fillId="0" borderId="0" xfId="0" applyFont="1" applyFill="1" applyAlignment="1">
      <alignment horizontal="center" vertical="center"/>
    </xf>
    <xf numFmtId="1" fontId="14" fillId="0" borderId="0" xfId="0" applyNumberFormat="1" applyFont="1" applyFill="1" applyAlignment="1">
      <alignment horizontal="center" vertical="center"/>
    </xf>
    <xf numFmtId="0" fontId="15" fillId="0" borderId="0" xfId="0" applyFont="1"/>
    <xf numFmtId="0" fontId="16" fillId="0" borderId="0" xfId="0" applyFont="1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1" fontId="14" fillId="0" borderId="0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top"/>
    </xf>
    <xf numFmtId="4" fontId="17" fillId="0" borderId="6" xfId="0" applyNumberFormat="1" applyFont="1" applyFill="1" applyBorder="1" applyAlignment="1">
      <alignment horizontal="center" vertical="center"/>
    </xf>
    <xf numFmtId="4" fontId="17" fillId="0" borderId="40" xfId="0" applyNumberFormat="1" applyFont="1" applyFill="1" applyBorder="1" applyAlignment="1">
      <alignment horizontal="center" vertical="center"/>
    </xf>
    <xf numFmtId="4" fontId="17" fillId="0" borderId="31" xfId="0" applyNumberFormat="1" applyFont="1" applyFill="1" applyBorder="1" applyAlignment="1">
      <alignment horizontal="center" vertical="center"/>
    </xf>
    <xf numFmtId="0" fontId="14" fillId="0" borderId="19" xfId="0" applyFont="1" applyFill="1" applyBorder="1" applyAlignment="1">
      <alignment horizontal="center" vertical="center"/>
    </xf>
    <xf numFmtId="2" fontId="14" fillId="0" borderId="17" xfId="0" applyNumberFormat="1" applyFont="1" applyFill="1" applyBorder="1" applyAlignment="1">
      <alignment horizontal="center" vertical="center"/>
    </xf>
    <xf numFmtId="1" fontId="14" fillId="0" borderId="19" xfId="0" applyNumberFormat="1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1" fontId="14" fillId="0" borderId="18" xfId="0" applyNumberFormat="1" applyFont="1" applyFill="1" applyBorder="1" applyAlignment="1">
      <alignment horizontal="center" vertical="center"/>
    </xf>
    <xf numFmtId="4" fontId="14" fillId="0" borderId="25" xfId="0" applyNumberFormat="1" applyFont="1" applyFill="1" applyBorder="1" applyAlignment="1">
      <alignment horizontal="center" vertical="center" wrapText="1"/>
    </xf>
    <xf numFmtId="4" fontId="14" fillId="0" borderId="29" xfId="0" applyNumberFormat="1" applyFont="1" applyFill="1" applyBorder="1" applyAlignment="1">
      <alignment horizontal="center" vertical="center" wrapText="1"/>
    </xf>
    <xf numFmtId="1" fontId="14" fillId="0" borderId="25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1" fontId="14" fillId="0" borderId="0" xfId="0" applyNumberFormat="1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8" fillId="0" borderId="0" xfId="0" applyFont="1" applyFill="1"/>
    <xf numFmtId="0" fontId="14" fillId="0" borderId="0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horizontal="center" vertical="center"/>
    </xf>
    <xf numFmtId="0" fontId="22" fillId="0" borderId="0" xfId="0" applyFont="1"/>
    <xf numFmtId="1" fontId="22" fillId="0" borderId="0" xfId="0" applyNumberFormat="1" applyFont="1" applyFill="1" applyAlignment="1">
      <alignment horizontal="center" vertical="center"/>
    </xf>
    <xf numFmtId="0" fontId="21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1" fontId="21" fillId="0" borderId="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ill="1"/>
    <xf numFmtId="0" fontId="3" fillId="0" borderId="0" xfId="0" applyFont="1"/>
    <xf numFmtId="0" fontId="3" fillId="0" borderId="0" xfId="0" applyFont="1" applyFill="1"/>
    <xf numFmtId="0" fontId="14" fillId="0" borderId="0" xfId="0" applyFont="1" applyFill="1" applyAlignment="1"/>
    <xf numFmtId="0" fontId="14" fillId="0" borderId="0" xfId="0" applyFont="1" applyFill="1" applyAlignment="1">
      <alignment vertical="center"/>
    </xf>
    <xf numFmtId="0" fontId="22" fillId="0" borderId="0" xfId="0" applyFont="1" applyFill="1"/>
    <xf numFmtId="4" fontId="14" fillId="0" borderId="22" xfId="0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vertical="center" wrapText="1"/>
    </xf>
    <xf numFmtId="0" fontId="14" fillId="0" borderId="15" xfId="0" applyFont="1" applyFill="1" applyBorder="1" applyAlignment="1">
      <alignment horizontal="right" vertical="center" wrapText="1"/>
    </xf>
    <xf numFmtId="14" fontId="14" fillId="0" borderId="8" xfId="0" applyNumberFormat="1" applyFont="1" applyFill="1" applyBorder="1" applyAlignment="1">
      <alignment horizontal="right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0" fontId="23" fillId="0" borderId="1" xfId="0" applyFont="1" applyFill="1" applyBorder="1" applyAlignment="1">
      <alignment horizontal="left" vertical="center"/>
    </xf>
    <xf numFmtId="0" fontId="14" fillId="0" borderId="37" xfId="0" applyFont="1" applyFill="1" applyBorder="1" applyAlignment="1">
      <alignment vertical="center" wrapText="1"/>
    </xf>
    <xf numFmtId="2" fontId="14" fillId="0" borderId="24" xfId="0" applyNumberFormat="1" applyFont="1" applyFill="1" applyBorder="1" applyAlignment="1">
      <alignment vertical="center"/>
    </xf>
    <xf numFmtId="0" fontId="14" fillId="0" borderId="33" xfId="0" applyFont="1" applyFill="1" applyBorder="1" applyAlignment="1">
      <alignment vertical="center" wrapText="1"/>
    </xf>
    <xf numFmtId="3" fontId="14" fillId="0" borderId="42" xfId="0" applyNumberFormat="1" applyFont="1" applyFill="1" applyBorder="1" applyAlignment="1">
      <alignment horizontal="center" vertical="center"/>
    </xf>
    <xf numFmtId="2" fontId="17" fillId="0" borderId="33" xfId="0" applyNumberFormat="1" applyFont="1" applyFill="1" applyBorder="1" applyAlignment="1">
      <alignment horizontal="center" vertical="center"/>
    </xf>
    <xf numFmtId="0" fontId="14" fillId="0" borderId="38" xfId="0" applyFont="1" applyFill="1" applyBorder="1" applyAlignment="1">
      <alignment vertical="center" wrapText="1"/>
    </xf>
    <xf numFmtId="3" fontId="14" fillId="0" borderId="39" xfId="0" applyNumberFormat="1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left" vertical="center" wrapText="1"/>
    </xf>
    <xf numFmtId="2" fontId="14" fillId="0" borderId="43" xfId="0" applyNumberFormat="1" applyFont="1" applyFill="1" applyBorder="1" applyAlignment="1">
      <alignment horizontal="center" vertical="center"/>
    </xf>
    <xf numFmtId="2" fontId="17" fillId="0" borderId="3" xfId="0" applyNumberFormat="1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2" fontId="14" fillId="0" borderId="2" xfId="0" applyNumberFormat="1" applyFont="1" applyFill="1" applyBorder="1" applyAlignment="1">
      <alignment vertical="center"/>
    </xf>
    <xf numFmtId="165" fontId="14" fillId="0" borderId="24" xfId="0" applyNumberFormat="1" applyFont="1" applyFill="1" applyBorder="1" applyAlignment="1">
      <alignment horizontal="center" vertical="center" wrapText="1"/>
    </xf>
    <xf numFmtId="2" fontId="14" fillId="0" borderId="23" xfId="0" applyNumberFormat="1" applyFont="1" applyFill="1" applyBorder="1" applyAlignment="1">
      <alignment vertical="center"/>
    </xf>
    <xf numFmtId="165" fontId="14" fillId="0" borderId="53" xfId="0" applyNumberFormat="1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vertical="center" wrapText="1"/>
    </xf>
    <xf numFmtId="2" fontId="14" fillId="0" borderId="37" xfId="0" applyNumberFormat="1" applyFont="1" applyFill="1" applyBorder="1" applyAlignment="1">
      <alignment horizontal="center" vertical="center"/>
    </xf>
    <xf numFmtId="14" fontId="17" fillId="0" borderId="0" xfId="0" applyNumberFormat="1" applyFont="1" applyFill="1" applyBorder="1" applyAlignment="1">
      <alignment horizontal="left" vertical="center" wrapText="1"/>
    </xf>
    <xf numFmtId="2" fontId="14" fillId="0" borderId="54" xfId="0" applyNumberFormat="1" applyFont="1" applyFill="1" applyBorder="1" applyAlignment="1">
      <alignment vertical="center"/>
    </xf>
    <xf numFmtId="2" fontId="14" fillId="0" borderId="1" xfId="0" applyNumberFormat="1" applyFont="1" applyFill="1" applyBorder="1" applyAlignment="1">
      <alignment vertical="center"/>
    </xf>
    <xf numFmtId="2" fontId="14" fillId="0" borderId="53" xfId="0" applyNumberFormat="1" applyFont="1" applyFill="1" applyBorder="1" applyAlignment="1">
      <alignment vertical="center"/>
    </xf>
    <xf numFmtId="3" fontId="14" fillId="0" borderId="54" xfId="0" applyNumberFormat="1" applyFont="1" applyFill="1" applyBorder="1" applyAlignment="1">
      <alignment vertical="center"/>
    </xf>
    <xf numFmtId="3" fontId="14" fillId="0" borderId="53" xfId="0" applyNumberFormat="1" applyFont="1" applyFill="1" applyBorder="1" applyAlignment="1">
      <alignment vertical="center"/>
    </xf>
    <xf numFmtId="3" fontId="14" fillId="0" borderId="55" xfId="0" applyNumberFormat="1" applyFont="1" applyFill="1" applyBorder="1" applyAlignment="1">
      <alignment horizontal="center" vertical="center"/>
    </xf>
    <xf numFmtId="3" fontId="14" fillId="0" borderId="56" xfId="0" applyNumberFormat="1" applyFont="1" applyFill="1" applyBorder="1" applyAlignment="1">
      <alignment horizontal="center" vertical="center"/>
    </xf>
    <xf numFmtId="2" fontId="14" fillId="0" borderId="5" xfId="0" applyNumberFormat="1" applyFont="1" applyFill="1" applyBorder="1" applyAlignment="1">
      <alignment horizontal="center" vertical="center"/>
    </xf>
    <xf numFmtId="3" fontId="14" fillId="0" borderId="37" xfId="0" applyNumberFormat="1" applyFont="1" applyFill="1" applyBorder="1" applyAlignment="1">
      <alignment horizontal="center" vertical="center"/>
    </xf>
    <xf numFmtId="3" fontId="14" fillId="34" borderId="54" xfId="0" applyNumberFormat="1" applyFont="1" applyFill="1" applyBorder="1" applyAlignment="1">
      <alignment vertical="center"/>
    </xf>
    <xf numFmtId="0" fontId="14" fillId="0" borderId="59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3" fontId="14" fillId="0" borderId="1" xfId="0" applyNumberFormat="1" applyFont="1" applyFill="1" applyBorder="1" applyAlignment="1">
      <alignment horizontal="center" vertical="center"/>
    </xf>
    <xf numFmtId="1" fontId="14" fillId="0" borderId="60" xfId="0" applyNumberFormat="1" applyFont="1" applyFill="1" applyBorder="1" applyAlignment="1">
      <alignment horizontal="center" vertical="center" wrapText="1"/>
    </xf>
    <xf numFmtId="3" fontId="14" fillId="34" borderId="35" xfId="0" applyNumberFormat="1" applyFont="1" applyFill="1" applyBorder="1" applyAlignment="1">
      <alignment horizontal="center" vertical="center"/>
    </xf>
    <xf numFmtId="3" fontId="14" fillId="0" borderId="35" xfId="0" applyNumberFormat="1" applyFont="1" applyFill="1" applyBorder="1" applyAlignment="1">
      <alignment horizontal="center" vertical="center"/>
    </xf>
    <xf numFmtId="2" fontId="14" fillId="34" borderId="62" xfId="0" applyNumberFormat="1" applyFont="1" applyFill="1" applyBorder="1" applyAlignment="1">
      <alignment horizontal="center" vertical="center"/>
    </xf>
    <xf numFmtId="3" fontId="14" fillId="0" borderId="24" xfId="0" applyNumberFormat="1" applyFont="1" applyFill="1" applyBorder="1" applyAlignment="1">
      <alignment vertical="center"/>
    </xf>
    <xf numFmtId="3" fontId="14" fillId="34" borderId="57" xfId="0" applyNumberFormat="1" applyFont="1" applyFill="1" applyBorder="1" applyAlignment="1">
      <alignment horizontal="center" vertical="center"/>
    </xf>
    <xf numFmtId="2" fontId="14" fillId="34" borderId="37" xfId="0" applyNumberFormat="1" applyFont="1" applyFill="1" applyBorder="1" applyAlignment="1">
      <alignment horizontal="center" vertical="center"/>
    </xf>
    <xf numFmtId="2" fontId="14" fillId="0" borderId="2" xfId="0" applyNumberFormat="1" applyFont="1" applyFill="1" applyBorder="1" applyAlignment="1">
      <alignment vertical="center" wrapText="1"/>
    </xf>
    <xf numFmtId="2" fontId="14" fillId="0" borderId="24" xfId="0" applyNumberFormat="1" applyFont="1" applyFill="1" applyBorder="1" applyAlignment="1">
      <alignment vertical="center" wrapText="1"/>
    </xf>
    <xf numFmtId="0" fontId="14" fillId="0" borderId="4" xfId="0" applyFont="1" applyFill="1" applyBorder="1" applyAlignment="1">
      <alignment horizontal="center" vertical="top"/>
    </xf>
    <xf numFmtId="2" fontId="14" fillId="0" borderId="2" xfId="0" applyNumberFormat="1" applyFont="1" applyFill="1" applyBorder="1" applyAlignment="1">
      <alignment horizontal="left" vertical="center" wrapText="1" indent="1"/>
    </xf>
    <xf numFmtId="2" fontId="14" fillId="0" borderId="24" xfId="0" applyNumberFormat="1" applyFont="1" applyFill="1" applyBorder="1" applyAlignment="1">
      <alignment horizontal="left" vertical="center" wrapText="1" inden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2" fontId="14" fillId="0" borderId="2" xfId="0" applyNumberFormat="1" applyFont="1" applyFill="1" applyBorder="1" applyAlignment="1">
      <alignment horizontal="left" vertical="center"/>
    </xf>
    <xf numFmtId="2" fontId="14" fillId="0" borderId="61" xfId="0" applyNumberFormat="1" applyFont="1" applyFill="1" applyBorder="1" applyAlignment="1">
      <alignment horizontal="center" vertical="center"/>
    </xf>
    <xf numFmtId="0" fontId="14" fillId="0" borderId="63" xfId="0" applyFont="1" applyFill="1" applyBorder="1" applyAlignment="1">
      <alignment horizontal="center" vertical="center"/>
    </xf>
    <xf numFmtId="4" fontId="14" fillId="0" borderId="64" xfId="0" applyNumberFormat="1" applyFont="1" applyFill="1" applyBorder="1" applyAlignment="1">
      <alignment horizontal="center" vertical="center"/>
    </xf>
    <xf numFmtId="4" fontId="14" fillId="0" borderId="26" xfId="0" applyNumberFormat="1" applyFont="1" applyFill="1" applyBorder="1" applyAlignment="1">
      <alignment horizontal="center" vertical="center" wrapText="1"/>
    </xf>
    <xf numFmtId="4" fontId="14" fillId="0" borderId="28" xfId="0" applyNumberFormat="1" applyFont="1" applyFill="1" applyBorder="1" applyAlignment="1">
      <alignment horizontal="center" vertical="center" wrapText="1"/>
    </xf>
    <xf numFmtId="2" fontId="14" fillId="0" borderId="23" xfId="0" applyNumberFormat="1" applyFont="1" applyFill="1" applyBorder="1" applyAlignment="1">
      <alignment horizontal="left" vertical="center" wrapText="1" indent="1"/>
    </xf>
    <xf numFmtId="3" fontId="14" fillId="0" borderId="65" xfId="0" applyNumberFormat="1" applyFont="1" applyFill="1" applyBorder="1" applyAlignment="1">
      <alignment horizontal="center" vertical="center"/>
    </xf>
    <xf numFmtId="3" fontId="14" fillId="0" borderId="58" xfId="0" applyNumberFormat="1" applyFont="1" applyFill="1" applyBorder="1" applyAlignment="1">
      <alignment horizontal="center" vertical="center"/>
    </xf>
    <xf numFmtId="3" fontId="14" fillId="0" borderId="57" xfId="0" applyNumberFormat="1" applyFont="1" applyFill="1" applyBorder="1" applyAlignment="1">
      <alignment horizontal="center" vertical="center"/>
    </xf>
    <xf numFmtId="3" fontId="14" fillId="34" borderId="56" xfId="0" applyNumberFormat="1" applyFont="1" applyFill="1" applyBorder="1" applyAlignment="1">
      <alignment horizontal="center" vertical="center"/>
    </xf>
    <xf numFmtId="3" fontId="14" fillId="34" borderId="55" xfId="0" applyNumberFormat="1" applyFont="1" applyFill="1" applyBorder="1" applyAlignment="1">
      <alignment horizontal="center" vertical="center"/>
    </xf>
    <xf numFmtId="2" fontId="14" fillId="0" borderId="23" xfId="0" applyNumberFormat="1" applyFont="1" applyBorder="1" applyAlignment="1">
      <alignment vertical="center"/>
    </xf>
    <xf numFmtId="4" fontId="3" fillId="0" borderId="0" xfId="0" applyNumberFormat="1" applyFont="1" applyFill="1"/>
    <xf numFmtId="3" fontId="14" fillId="35" borderId="42" xfId="0" applyNumberFormat="1" applyFont="1" applyFill="1" applyBorder="1" applyAlignment="1">
      <alignment horizontal="center" vertical="center"/>
    </xf>
    <xf numFmtId="3" fontId="14" fillId="35" borderId="39" xfId="0" applyNumberFormat="1" applyFont="1" applyFill="1" applyBorder="1" applyAlignment="1">
      <alignment horizontal="center" vertical="center"/>
    </xf>
    <xf numFmtId="3" fontId="14" fillId="35" borderId="35" xfId="0" applyNumberFormat="1" applyFont="1" applyFill="1" applyBorder="1" applyAlignment="1">
      <alignment horizontal="center" vertical="center"/>
    </xf>
    <xf numFmtId="2" fontId="14" fillId="35" borderId="57" xfId="0" applyNumberFormat="1" applyFont="1" applyFill="1" applyBorder="1" applyAlignment="1">
      <alignment horizontal="center" vertical="center"/>
    </xf>
    <xf numFmtId="2" fontId="14" fillId="35" borderId="43" xfId="0" applyNumberFormat="1" applyFont="1" applyFill="1" applyBorder="1" applyAlignment="1">
      <alignment horizontal="center" vertical="center"/>
    </xf>
    <xf numFmtId="3" fontId="14" fillId="35" borderId="54" xfId="0" applyNumberFormat="1" applyFont="1" applyFill="1" applyBorder="1" applyAlignment="1">
      <alignment vertical="center"/>
    </xf>
    <xf numFmtId="3" fontId="14" fillId="35" borderId="53" xfId="0" applyNumberFormat="1" applyFont="1" applyFill="1" applyBorder="1" applyAlignment="1">
      <alignment vertical="center"/>
    </xf>
    <xf numFmtId="3" fontId="14" fillId="35" borderId="24" xfId="0" applyNumberFormat="1" applyFont="1" applyFill="1" applyBorder="1" applyAlignment="1">
      <alignment vertical="center"/>
    </xf>
    <xf numFmtId="3" fontId="14" fillId="35" borderId="57" xfId="0" applyNumberFormat="1" applyFont="1" applyFill="1" applyBorder="1" applyAlignment="1">
      <alignment horizontal="center" vertical="center"/>
    </xf>
    <xf numFmtId="0" fontId="21" fillId="35" borderId="0" xfId="0" applyFont="1" applyFill="1" applyAlignment="1">
      <alignment horizontal="center" vertical="center"/>
    </xf>
    <xf numFmtId="0" fontId="22" fillId="35" borderId="0" xfId="0" applyFont="1" applyFill="1" applyAlignment="1">
      <alignment horizontal="center" vertical="center"/>
    </xf>
    <xf numFmtId="0" fontId="22" fillId="35" borderId="0" xfId="0" applyFont="1" applyFill="1" applyAlignment="1"/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center" vertical="center"/>
    </xf>
    <xf numFmtId="0" fontId="22" fillId="0" borderId="0" xfId="0" applyFont="1" applyAlignment="1"/>
    <xf numFmtId="0" fontId="21" fillId="0" borderId="0" xfId="0" applyFont="1" applyFill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1" xfId="0" applyFont="1" applyFill="1" applyBorder="1" applyAlignment="1">
      <alignment horizontal="left" vertical="center"/>
    </xf>
    <xf numFmtId="0" fontId="21" fillId="0" borderId="0" xfId="0" applyFont="1" applyFill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left" vertical="top" wrapText="1"/>
    </xf>
    <xf numFmtId="0" fontId="14" fillId="0" borderId="11" xfId="0" applyFont="1" applyFill="1" applyBorder="1" applyAlignment="1">
      <alignment horizontal="left" vertical="top"/>
    </xf>
    <xf numFmtId="0" fontId="16" fillId="0" borderId="20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2" fontId="14" fillId="0" borderId="26" xfId="0" applyNumberFormat="1" applyFont="1" applyFill="1" applyBorder="1" applyAlignment="1">
      <alignment horizontal="center" vertical="center" wrapText="1"/>
    </xf>
    <xf numFmtId="2" fontId="14" fillId="0" borderId="30" xfId="0" applyNumberFormat="1" applyFont="1" applyFill="1" applyBorder="1" applyAlignment="1">
      <alignment horizontal="center" vertical="center" wrapText="1"/>
    </xf>
    <xf numFmtId="2" fontId="14" fillId="0" borderId="28" xfId="0" applyNumberFormat="1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left" vertical="top" wrapText="1"/>
    </xf>
    <xf numFmtId="0" fontId="14" fillId="0" borderId="9" xfId="0" applyFont="1" applyFill="1" applyBorder="1" applyAlignment="1">
      <alignment horizontal="left" vertical="top"/>
    </xf>
    <xf numFmtId="0" fontId="14" fillId="0" borderId="20" xfId="0" applyFont="1" applyFill="1" applyBorder="1" applyAlignment="1">
      <alignment horizontal="center" vertical="top" wrapText="1"/>
    </xf>
    <xf numFmtId="0" fontId="14" fillId="0" borderId="10" xfId="0" applyFont="1" applyFill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top" wrapText="1"/>
    </xf>
    <xf numFmtId="0" fontId="14" fillId="0" borderId="14" xfId="0" applyFont="1" applyFill="1" applyBorder="1" applyAlignment="1">
      <alignment horizontal="center" vertical="top" wrapText="1"/>
    </xf>
    <xf numFmtId="0" fontId="14" fillId="0" borderId="6" xfId="0" applyFont="1" applyFill="1" applyBorder="1" applyAlignment="1">
      <alignment horizontal="center" vertical="top" wrapText="1"/>
    </xf>
    <xf numFmtId="0" fontId="14" fillId="0" borderId="7" xfId="0" applyFont="1" applyFill="1" applyBorder="1" applyAlignment="1">
      <alignment horizontal="center" vertical="top" wrapText="1"/>
    </xf>
    <xf numFmtId="2" fontId="14" fillId="34" borderId="23" xfId="0" applyNumberFormat="1" applyFont="1" applyFill="1" applyBorder="1" applyAlignment="1">
      <alignment horizontal="left" vertical="center" wrapText="1"/>
    </xf>
    <xf numFmtId="2" fontId="14" fillId="34" borderId="2" xfId="0" applyNumberFormat="1" applyFont="1" applyFill="1" applyBorder="1" applyAlignment="1">
      <alignment horizontal="left" vertical="center" wrapText="1"/>
    </xf>
    <xf numFmtId="3" fontId="14" fillId="35" borderId="16" xfId="0" applyNumberFormat="1" applyFont="1" applyFill="1" applyBorder="1" applyAlignment="1">
      <alignment horizontal="center" vertical="center"/>
    </xf>
    <xf numFmtId="3" fontId="14" fillId="35" borderId="17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top"/>
    </xf>
    <xf numFmtId="0" fontId="14" fillId="0" borderId="4" xfId="0" applyFont="1" applyFill="1" applyBorder="1" applyAlignment="1">
      <alignment horizontal="center" vertical="top"/>
    </xf>
    <xf numFmtId="0" fontId="18" fillId="0" borderId="5" xfId="0" applyFont="1" applyBorder="1" applyAlignment="1">
      <alignment horizontal="center" vertical="top"/>
    </xf>
    <xf numFmtId="0" fontId="14" fillId="0" borderId="14" xfId="0" applyFont="1" applyFill="1" applyBorder="1" applyAlignment="1">
      <alignment horizontal="left" vertical="top" wrapText="1"/>
    </xf>
    <xf numFmtId="0" fontId="14" fillId="0" borderId="6" xfId="0" applyFont="1" applyFill="1" applyBorder="1" applyAlignment="1">
      <alignment horizontal="left" vertical="top" wrapText="1"/>
    </xf>
    <xf numFmtId="0" fontId="14" fillId="0" borderId="27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/>
    </xf>
    <xf numFmtId="0" fontId="14" fillId="0" borderId="9" xfId="0" applyFont="1" applyFill="1" applyBorder="1" applyAlignment="1">
      <alignment horizontal="left" vertical="top" wrapText="1"/>
    </xf>
    <xf numFmtId="0" fontId="17" fillId="0" borderId="14" xfId="0" applyFont="1" applyFill="1" applyBorder="1" applyAlignment="1">
      <alignment horizontal="center" vertical="top" wrapText="1"/>
    </xf>
    <xf numFmtId="0" fontId="17" fillId="0" borderId="7" xfId="0" applyFont="1" applyFill="1" applyBorder="1" applyAlignment="1">
      <alignment horizontal="center" vertical="top" wrapText="1"/>
    </xf>
    <xf numFmtId="0" fontId="17" fillId="0" borderId="27" xfId="0" applyFont="1" applyFill="1" applyBorder="1" applyAlignment="1">
      <alignment horizontal="center" vertical="top" wrapText="1"/>
    </xf>
    <xf numFmtId="0" fontId="17" fillId="0" borderId="13" xfId="0" applyFont="1" applyFill="1" applyBorder="1" applyAlignment="1">
      <alignment horizontal="center" vertical="top" wrapText="1"/>
    </xf>
    <xf numFmtId="0" fontId="17" fillId="0" borderId="15" xfId="0" applyFont="1" applyFill="1" applyBorder="1" applyAlignment="1">
      <alignment horizontal="center" vertical="top" wrapText="1"/>
    </xf>
    <xf numFmtId="0" fontId="17" fillId="0" borderId="9" xfId="0" applyFont="1" applyFill="1" applyBorder="1" applyAlignment="1">
      <alignment horizontal="center" vertical="top" wrapText="1"/>
    </xf>
    <xf numFmtId="2" fontId="14" fillId="34" borderId="23" xfId="0" applyNumberFormat="1" applyFont="1" applyFill="1" applyBorder="1" applyAlignment="1">
      <alignment vertical="center" wrapText="1"/>
    </xf>
    <xf numFmtId="2" fontId="14" fillId="34" borderId="2" xfId="0" applyNumberFormat="1" applyFont="1" applyFill="1" applyBorder="1" applyAlignment="1">
      <alignment vertical="center" wrapText="1"/>
    </xf>
    <xf numFmtId="2" fontId="14" fillId="34" borderId="24" xfId="0" applyNumberFormat="1" applyFont="1" applyFill="1" applyBorder="1" applyAlignment="1">
      <alignment vertical="center" wrapText="1"/>
    </xf>
    <xf numFmtId="2" fontId="14" fillId="0" borderId="23" xfId="0" applyNumberFormat="1" applyFont="1" applyFill="1" applyBorder="1" applyAlignment="1">
      <alignment horizontal="left" vertical="center" wrapText="1" indent="1"/>
    </xf>
    <xf numFmtId="2" fontId="14" fillId="0" borderId="2" xfId="0" applyNumberFormat="1" applyFont="1" applyFill="1" applyBorder="1" applyAlignment="1">
      <alignment horizontal="left" vertical="center" wrapText="1" indent="1"/>
    </xf>
    <xf numFmtId="2" fontId="14" fillId="0" borderId="24" xfId="0" applyNumberFormat="1" applyFont="1" applyFill="1" applyBorder="1" applyAlignment="1">
      <alignment horizontal="left" vertical="center" wrapText="1" indent="1"/>
    </xf>
    <xf numFmtId="0" fontId="17" fillId="0" borderId="6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2" fontId="14" fillId="0" borderId="23" xfId="0" applyNumberFormat="1" applyFont="1" applyBorder="1" applyAlignment="1">
      <alignment vertical="center" wrapText="1"/>
    </xf>
    <xf numFmtId="2" fontId="14" fillId="0" borderId="2" xfId="0" applyNumberFormat="1" applyFont="1" applyBorder="1" applyAlignment="1">
      <alignment vertical="center" wrapText="1"/>
    </xf>
    <xf numFmtId="2" fontId="14" fillId="0" borderId="24" xfId="0" applyNumberFormat="1" applyFont="1" applyBorder="1" applyAlignment="1">
      <alignment vertical="center" wrapText="1"/>
    </xf>
    <xf numFmtId="2" fontId="14" fillId="34" borderId="16" xfId="0" applyNumberFormat="1" applyFont="1" applyFill="1" applyBorder="1" applyAlignment="1">
      <alignment vertical="center"/>
    </xf>
    <xf numFmtId="2" fontId="14" fillId="34" borderId="12" xfId="0" applyNumberFormat="1" applyFont="1" applyFill="1" applyBorder="1" applyAlignment="1">
      <alignment vertical="center"/>
    </xf>
    <xf numFmtId="2" fontId="14" fillId="34" borderId="17" xfId="0" applyNumberFormat="1" applyFont="1" applyFill="1" applyBorder="1" applyAlignment="1">
      <alignment vertical="center"/>
    </xf>
    <xf numFmtId="2" fontId="14" fillId="0" borderId="23" xfId="0" applyNumberFormat="1" applyFont="1" applyBorder="1" applyAlignment="1">
      <alignment vertical="center"/>
    </xf>
    <xf numFmtId="2" fontId="14" fillId="0" borderId="2" xfId="0" applyNumberFormat="1" applyFont="1" applyBorder="1" applyAlignment="1">
      <alignment vertical="center"/>
    </xf>
    <xf numFmtId="2" fontId="14" fillId="0" borderId="24" xfId="0" applyNumberFormat="1" applyFont="1" applyBorder="1" applyAlignment="1">
      <alignment vertical="center"/>
    </xf>
    <xf numFmtId="2" fontId="14" fillId="0" borderId="23" xfId="0" applyNumberFormat="1" applyFont="1" applyFill="1" applyBorder="1" applyAlignment="1">
      <alignment vertical="center"/>
    </xf>
    <xf numFmtId="2" fontId="14" fillId="0" borderId="2" xfId="0" applyNumberFormat="1" applyFont="1" applyFill="1" applyBorder="1" applyAlignment="1">
      <alignment vertical="center"/>
    </xf>
    <xf numFmtId="2" fontId="14" fillId="0" borderId="24" xfId="0" applyNumberFormat="1" applyFont="1" applyFill="1" applyBorder="1" applyAlignment="1">
      <alignment vertical="center"/>
    </xf>
    <xf numFmtId="2" fontId="14" fillId="34" borderId="23" xfId="0" applyNumberFormat="1" applyFont="1" applyFill="1" applyBorder="1" applyAlignment="1">
      <alignment horizontal="center" vertical="center" wrapText="1"/>
    </xf>
    <xf numFmtId="2" fontId="14" fillId="34" borderId="2" xfId="0" applyNumberFormat="1" applyFont="1" applyFill="1" applyBorder="1" applyAlignment="1">
      <alignment horizontal="center" vertical="center" wrapText="1"/>
    </xf>
    <xf numFmtId="0" fontId="14" fillId="34" borderId="27" xfId="0" applyFont="1" applyFill="1" applyBorder="1" applyAlignment="1">
      <alignment horizontal="left" vertical="top" wrapText="1" indent="1"/>
    </xf>
    <xf numFmtId="0" fontId="14" fillId="34" borderId="0" xfId="0" applyFont="1" applyFill="1" applyBorder="1" applyAlignment="1">
      <alignment horizontal="left" vertical="top" wrapText="1" indent="1"/>
    </xf>
    <xf numFmtId="0" fontId="14" fillId="34" borderId="13" xfId="0" applyFont="1" applyFill="1" applyBorder="1" applyAlignment="1">
      <alignment horizontal="left" vertical="top" wrapText="1" indent="1"/>
    </xf>
    <xf numFmtId="0" fontId="14" fillId="34" borderId="23" xfId="0" applyFont="1" applyFill="1" applyBorder="1" applyAlignment="1">
      <alignment horizontal="left" vertical="top" wrapText="1" indent="1"/>
    </xf>
    <xf numFmtId="0" fontId="14" fillId="34" borderId="2" xfId="0" applyFont="1" applyFill="1" applyBorder="1" applyAlignment="1">
      <alignment horizontal="left" vertical="top" wrapText="1" indent="1"/>
    </xf>
    <xf numFmtId="0" fontId="14" fillId="34" borderId="24" xfId="0" applyFont="1" applyFill="1" applyBorder="1" applyAlignment="1">
      <alignment horizontal="left" vertical="top" wrapText="1" indent="1"/>
    </xf>
    <xf numFmtId="2" fontId="14" fillId="0" borderId="23" xfId="0" applyNumberFormat="1" applyFont="1" applyFill="1" applyBorder="1" applyAlignment="1">
      <alignment horizontal="center" vertical="center" wrapText="1"/>
    </xf>
    <xf numFmtId="2" fontId="14" fillId="0" borderId="2" xfId="0" applyNumberFormat="1" applyFont="1" applyFill="1" applyBorder="1" applyAlignment="1">
      <alignment horizontal="center" vertical="center" wrapText="1"/>
    </xf>
    <xf numFmtId="0" fontId="14" fillId="0" borderId="58" xfId="0" applyFont="1" applyFill="1" applyBorder="1" applyAlignment="1">
      <alignment horizontal="left" vertical="top" wrapText="1" indent="1"/>
    </xf>
    <xf numFmtId="0" fontId="14" fillId="0" borderId="57" xfId="0" applyFont="1" applyFill="1" applyBorder="1" applyAlignment="1">
      <alignment horizontal="left" vertical="top" wrapText="1" indent="1"/>
    </xf>
    <xf numFmtId="0" fontId="14" fillId="0" borderId="35" xfId="0" applyFont="1" applyFill="1" applyBorder="1" applyAlignment="1">
      <alignment horizontal="left" vertical="top" wrapText="1" indent="1"/>
    </xf>
    <xf numFmtId="0" fontId="14" fillId="0" borderId="5" xfId="0" applyFont="1" applyFill="1" applyBorder="1" applyAlignment="1">
      <alignment horizontal="center" vertical="top"/>
    </xf>
    <xf numFmtId="0" fontId="14" fillId="0" borderId="7" xfId="0" applyFont="1" applyFill="1" applyBorder="1" applyAlignment="1">
      <alignment horizontal="left" vertical="top" wrapText="1"/>
    </xf>
    <xf numFmtId="0" fontId="14" fillId="0" borderId="13" xfId="0" applyFont="1" applyFill="1" applyBorder="1" applyAlignment="1">
      <alignment horizontal="left" vertical="top" wrapText="1"/>
    </xf>
    <xf numFmtId="0" fontId="17" fillId="0" borderId="6" xfId="0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4" fillId="34" borderId="24" xfId="0" applyNumberFormat="1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left" vertical="top" wrapText="1"/>
    </xf>
    <xf numFmtId="0" fontId="2" fillId="0" borderId="16" xfId="0" applyFont="1" applyFill="1" applyBorder="1" applyAlignment="1">
      <alignment horizontal="left" vertical="center" indent="1"/>
    </xf>
    <xf numFmtId="0" fontId="2" fillId="0" borderId="12" xfId="0" applyFont="1" applyFill="1" applyBorder="1" applyAlignment="1">
      <alignment horizontal="left" vertical="center" indent="1"/>
    </xf>
    <xf numFmtId="0" fontId="17" fillId="0" borderId="12" xfId="0" applyFont="1" applyFill="1" applyBorder="1" applyAlignment="1">
      <alignment horizontal="left" vertical="center"/>
    </xf>
    <xf numFmtId="0" fontId="17" fillId="0" borderId="17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center" vertical="top" wrapText="1"/>
    </xf>
    <xf numFmtId="0" fontId="20" fillId="0" borderId="41" xfId="0" applyFont="1" applyFill="1" applyBorder="1" applyAlignment="1">
      <alignment horizontal="left" vertical="center" indent="1"/>
    </xf>
    <xf numFmtId="0" fontId="20" fillId="0" borderId="40" xfId="0" applyFont="1" applyFill="1" applyBorder="1" applyAlignment="1">
      <alignment horizontal="left" vertical="center" indent="1"/>
    </xf>
    <xf numFmtId="0" fontId="17" fillId="0" borderId="2" xfId="0" applyFont="1" applyFill="1" applyBorder="1" applyAlignment="1">
      <alignment horizontal="left" vertical="center" wrapText="1"/>
    </xf>
    <xf numFmtId="0" fontId="17" fillId="0" borderId="24" xfId="0" applyFont="1" applyFill="1" applyBorder="1" applyAlignment="1">
      <alignment horizontal="left" vertical="center" wrapText="1"/>
    </xf>
    <xf numFmtId="0" fontId="2" fillId="0" borderId="21" xfId="0" applyFont="1" applyFill="1" applyBorder="1" applyAlignment="1">
      <alignment horizontal="left" vertical="center" wrapText="1" indent="1"/>
    </xf>
    <xf numFmtId="0" fontId="2" fillId="0" borderId="31" xfId="0" applyFont="1" applyFill="1" applyBorder="1" applyAlignment="1">
      <alignment horizontal="left" vertical="center" wrapText="1" indent="1"/>
    </xf>
    <xf numFmtId="0" fontId="17" fillId="0" borderId="31" xfId="0" applyFont="1" applyFill="1" applyBorder="1" applyAlignment="1">
      <alignment horizontal="left" vertical="center" wrapText="1"/>
    </xf>
    <xf numFmtId="0" fontId="17" fillId="0" borderId="22" xfId="0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 wrapText="1"/>
    </xf>
    <xf numFmtId="168" fontId="17" fillId="0" borderId="32" xfId="0" applyNumberFormat="1" applyFont="1" applyFill="1" applyBorder="1" applyAlignment="1">
      <alignment horizontal="center" vertical="center"/>
    </xf>
    <xf numFmtId="168" fontId="19" fillId="0" borderId="11" xfId="0" applyNumberFormat="1" applyFont="1" applyBorder="1" applyAlignment="1">
      <alignment horizontal="center" vertical="center"/>
    </xf>
    <xf numFmtId="0" fontId="14" fillId="0" borderId="14" xfId="0" applyFont="1" applyFill="1" applyBorder="1" applyAlignment="1">
      <alignment horizontal="left" vertical="center" wrapText="1" indent="18"/>
    </xf>
    <xf numFmtId="0" fontId="14" fillId="0" borderId="6" xfId="0" applyFont="1" applyFill="1" applyBorder="1" applyAlignment="1">
      <alignment horizontal="left" vertical="center" wrapText="1" indent="18"/>
    </xf>
    <xf numFmtId="0" fontId="14" fillId="0" borderId="7" xfId="0" applyFont="1" applyFill="1" applyBorder="1" applyAlignment="1">
      <alignment horizontal="left" vertical="center" wrapText="1" indent="18"/>
    </xf>
    <xf numFmtId="2" fontId="14" fillId="0" borderId="14" xfId="0" applyNumberFormat="1" applyFont="1" applyBorder="1" applyAlignment="1">
      <alignment horizontal="center" vertical="center"/>
    </xf>
    <xf numFmtId="2" fontId="14" fillId="0" borderId="6" xfId="0" applyNumberFormat="1" applyFont="1" applyBorder="1" applyAlignment="1">
      <alignment horizontal="center" vertical="center"/>
    </xf>
    <xf numFmtId="2" fontId="14" fillId="0" borderId="7" xfId="0" applyNumberFormat="1" applyFont="1" applyBorder="1" applyAlignment="1">
      <alignment horizontal="center" vertical="center"/>
    </xf>
    <xf numFmtId="2" fontId="14" fillId="0" borderId="54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2" fontId="14" fillId="0" borderId="53" xfId="0" applyNumberFormat="1" applyFont="1" applyBorder="1" applyAlignment="1">
      <alignment horizontal="center" vertical="center"/>
    </xf>
    <xf numFmtId="2" fontId="14" fillId="34" borderId="14" xfId="0" applyNumberFormat="1" applyFont="1" applyFill="1" applyBorder="1" applyAlignment="1">
      <alignment horizontal="center" vertical="center" wrapText="1"/>
    </xf>
    <xf numFmtId="2" fontId="14" fillId="34" borderId="6" xfId="0" applyNumberFormat="1" applyFont="1" applyFill="1" applyBorder="1" applyAlignment="1">
      <alignment horizontal="center" vertical="center" wrapText="1"/>
    </xf>
    <xf numFmtId="2" fontId="14" fillId="34" borderId="7" xfId="0" applyNumberFormat="1" applyFont="1" applyFill="1" applyBorder="1" applyAlignment="1">
      <alignment horizontal="center" vertical="center" wrapText="1"/>
    </xf>
    <xf numFmtId="2" fontId="14" fillId="34" borderId="54" xfId="0" applyNumberFormat="1" applyFont="1" applyFill="1" applyBorder="1" applyAlignment="1">
      <alignment horizontal="center" vertical="center" wrapText="1"/>
    </xf>
    <xf numFmtId="2" fontId="14" fillId="34" borderId="1" xfId="0" applyNumberFormat="1" applyFont="1" applyFill="1" applyBorder="1" applyAlignment="1">
      <alignment horizontal="center" vertical="center" wrapText="1"/>
    </xf>
    <xf numFmtId="2" fontId="14" fillId="34" borderId="53" xfId="0" applyNumberFormat="1" applyFont="1" applyFill="1" applyBorder="1" applyAlignment="1">
      <alignment horizontal="center" vertical="center" wrapText="1"/>
    </xf>
    <xf numFmtId="0" fontId="14" fillId="34" borderId="14" xfId="0" applyFont="1" applyFill="1" applyBorder="1" applyAlignment="1">
      <alignment horizontal="center" vertical="top" wrapText="1"/>
    </xf>
    <xf numFmtId="0" fontId="14" fillId="34" borderId="6" xfId="0" applyFont="1" applyFill="1" applyBorder="1" applyAlignment="1">
      <alignment horizontal="center" vertical="top" wrapText="1"/>
    </xf>
    <xf numFmtId="0" fontId="14" fillId="34" borderId="7" xfId="0" applyFont="1" applyFill="1" applyBorder="1" applyAlignment="1">
      <alignment horizontal="center" vertical="top" wrapText="1"/>
    </xf>
    <xf numFmtId="0" fontId="14" fillId="34" borderId="54" xfId="0" applyFont="1" applyFill="1" applyBorder="1" applyAlignment="1">
      <alignment horizontal="center" vertical="top" wrapText="1"/>
    </xf>
    <xf numFmtId="0" fontId="14" fillId="34" borderId="1" xfId="0" applyFont="1" applyFill="1" applyBorder="1" applyAlignment="1">
      <alignment horizontal="center" vertical="top" wrapText="1"/>
    </xf>
    <xf numFmtId="0" fontId="14" fillId="34" borderId="53" xfId="0" applyFont="1" applyFill="1" applyBorder="1" applyAlignment="1">
      <alignment horizontal="center" vertical="top" wrapText="1"/>
    </xf>
    <xf numFmtId="0" fontId="14" fillId="0" borderId="15" xfId="0" applyFont="1" applyFill="1" applyBorder="1" applyAlignment="1">
      <alignment horizontal="left" vertical="top" wrapText="1" indent="1"/>
    </xf>
    <xf numFmtId="0" fontId="14" fillId="0" borderId="8" xfId="0" applyFont="1" applyFill="1" applyBorder="1" applyAlignment="1">
      <alignment horizontal="left" vertical="top" wrapText="1" indent="1"/>
    </xf>
    <xf numFmtId="0" fontId="14" fillId="0" borderId="9" xfId="0" applyFont="1" applyFill="1" applyBorder="1" applyAlignment="1">
      <alignment horizontal="left" vertical="top" wrapText="1" indent="1"/>
    </xf>
    <xf numFmtId="0" fontId="19" fillId="0" borderId="11" xfId="0" applyFont="1" applyFill="1" applyBorder="1" applyAlignment="1">
      <alignment horizontal="center" vertical="center"/>
    </xf>
    <xf numFmtId="3" fontId="14" fillId="0" borderId="6" xfId="0" applyNumberFormat="1" applyFont="1" applyFill="1" applyBorder="1" applyAlignment="1">
      <alignment horizontal="center" vertical="center"/>
    </xf>
    <xf numFmtId="3" fontId="14" fillId="0" borderId="7" xfId="0" applyNumberFormat="1" applyFont="1" applyFill="1" applyBorder="1" applyAlignment="1">
      <alignment horizontal="center" vertical="center"/>
    </xf>
    <xf numFmtId="0" fontId="18" fillId="0" borderId="20" xfId="0" applyFont="1" applyBorder="1" applyAlignment="1">
      <alignment horizontal="center" vertical="top"/>
    </xf>
    <xf numFmtId="0" fontId="18" fillId="0" borderId="10" xfId="0" applyFont="1" applyBorder="1" applyAlignment="1">
      <alignment horizontal="center" vertical="top"/>
    </xf>
    <xf numFmtId="0" fontId="18" fillId="0" borderId="2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 wrapText="1"/>
    </xf>
    <xf numFmtId="168" fontId="17" fillId="0" borderId="10" xfId="0" applyNumberFormat="1" applyFont="1" applyFill="1" applyBorder="1" applyAlignment="1">
      <alignment horizontal="center" vertical="center"/>
    </xf>
    <xf numFmtId="0" fontId="23" fillId="35" borderId="0" xfId="0" applyFont="1" applyFill="1" applyAlignment="1">
      <alignment horizontal="center" vertical="center"/>
    </xf>
    <xf numFmtId="0" fontId="21" fillId="35" borderId="0" xfId="0" applyFont="1" applyFill="1" applyAlignment="1">
      <alignment horizontal="left" vertical="center"/>
    </xf>
    <xf numFmtId="0" fontId="22" fillId="35" borderId="0" xfId="0" applyFont="1" applyFill="1" applyAlignment="1">
      <alignment horizontal="left" vertical="center"/>
    </xf>
    <xf numFmtId="14" fontId="22" fillId="35" borderId="1" xfId="0" applyNumberFormat="1" applyFont="1" applyFill="1" applyBorder="1" applyAlignment="1">
      <alignment vertical="center"/>
    </xf>
    <xf numFmtId="166" fontId="23" fillId="35" borderId="1" xfId="2" applyNumberFormat="1" applyFont="1" applyFill="1" applyBorder="1" applyAlignment="1">
      <alignment horizontal="right" vertical="center"/>
    </xf>
    <xf numFmtId="165" fontId="14" fillId="35" borderId="36" xfId="0" applyNumberFormat="1" applyFont="1" applyFill="1" applyBorder="1" applyAlignment="1">
      <alignment horizontal="center" vertical="center" wrapText="1"/>
    </xf>
    <xf numFmtId="165" fontId="14" fillId="35" borderId="37" xfId="0" applyNumberFormat="1" applyFont="1" applyFill="1" applyBorder="1" applyAlignment="1">
      <alignment horizontal="center" vertical="center" wrapText="1"/>
    </xf>
    <xf numFmtId="4" fontId="14" fillId="35" borderId="22" xfId="0" applyNumberFormat="1" applyFont="1" applyFill="1" applyBorder="1" applyAlignment="1">
      <alignment horizontal="center" vertical="center"/>
    </xf>
    <xf numFmtId="0" fontId="14" fillId="35" borderId="0" xfId="0" applyFont="1" applyFill="1" applyAlignment="1"/>
  </cellXfs>
  <cellStyles count="540">
    <cellStyle name="%40 - Vurgu1 2" xfId="79" xr:uid="{00000000-0005-0000-0000-000000000000}"/>
    <cellStyle name="20% — акцент1 2" xfId="55" xr:uid="{00000000-0005-0000-0000-000001000000}"/>
    <cellStyle name="20% — акцент2 2" xfId="59" xr:uid="{00000000-0005-0000-0000-000002000000}"/>
    <cellStyle name="20% — акцент3 2" xfId="63" xr:uid="{00000000-0005-0000-0000-000003000000}"/>
    <cellStyle name="20% — акцент4 2" xfId="67" xr:uid="{00000000-0005-0000-0000-000004000000}"/>
    <cellStyle name="20% — акцент5 2" xfId="71" xr:uid="{00000000-0005-0000-0000-000005000000}"/>
    <cellStyle name="20% — акцент6 2" xfId="75" xr:uid="{00000000-0005-0000-0000-000006000000}"/>
    <cellStyle name="40% — акцент1 2" xfId="56" xr:uid="{00000000-0005-0000-0000-000007000000}"/>
    <cellStyle name="40% — акцент2 2" xfId="60" xr:uid="{00000000-0005-0000-0000-000008000000}"/>
    <cellStyle name="40% — акцент3 2" xfId="64" xr:uid="{00000000-0005-0000-0000-000009000000}"/>
    <cellStyle name="40% — акцент4 2" xfId="68" xr:uid="{00000000-0005-0000-0000-00000A000000}"/>
    <cellStyle name="40% — акцент5 2" xfId="72" xr:uid="{00000000-0005-0000-0000-00000B000000}"/>
    <cellStyle name="40% — акцент6 2" xfId="76" xr:uid="{00000000-0005-0000-0000-00000C000000}"/>
    <cellStyle name="60% — акцент1 2" xfId="57" xr:uid="{00000000-0005-0000-0000-00000D000000}"/>
    <cellStyle name="60% — акцент2 2" xfId="61" xr:uid="{00000000-0005-0000-0000-00000E000000}"/>
    <cellStyle name="60% — акцент3 2" xfId="65" xr:uid="{00000000-0005-0000-0000-00000F000000}"/>
    <cellStyle name="60% — акцент4 2" xfId="69" xr:uid="{00000000-0005-0000-0000-000010000000}"/>
    <cellStyle name="60% — акцент5 2" xfId="73" xr:uid="{00000000-0005-0000-0000-000011000000}"/>
    <cellStyle name="60% — акцент6 2" xfId="77" xr:uid="{00000000-0005-0000-0000-000012000000}"/>
    <cellStyle name="Ana Başlık 2" xfId="80" xr:uid="{00000000-0005-0000-0000-000013000000}"/>
    <cellStyle name="Binlik Ayracı [0] 2" xfId="429" xr:uid="{00000000-0005-0000-0000-000014000000}"/>
    <cellStyle name="Binlik Ayracı [0] 3" xfId="430" xr:uid="{00000000-0005-0000-0000-000015000000}"/>
    <cellStyle name="Comma_parça planlama" xfId="81" xr:uid="{00000000-0005-0000-0000-000016000000}"/>
    <cellStyle name="Excel Built-in Normal" xfId="82" xr:uid="{00000000-0005-0000-0000-000017000000}"/>
    <cellStyle name="Excel Built-in Normal 1" xfId="83" xr:uid="{00000000-0005-0000-0000-000018000000}"/>
    <cellStyle name="Excel Built-in Normal 1 2" xfId="84" xr:uid="{00000000-0005-0000-0000-000019000000}"/>
    <cellStyle name="Excel Built-in Normal 1 2 2" xfId="85" xr:uid="{00000000-0005-0000-0000-00001A000000}"/>
    <cellStyle name="Excel Built-in Normal 1 3" xfId="86" xr:uid="{00000000-0005-0000-0000-00001B000000}"/>
    <cellStyle name="Excel Built-in Normal 2" xfId="87" xr:uid="{00000000-0005-0000-0000-00001C000000}"/>
    <cellStyle name="Excel Built-in Normal 2 2" xfId="88" xr:uid="{00000000-0005-0000-0000-00001D000000}"/>
    <cellStyle name="Excel Built-in Normal 3" xfId="89" xr:uid="{00000000-0005-0000-0000-00001E000000}"/>
    <cellStyle name="Excel Built-in Normal 4" xfId="90" xr:uid="{00000000-0005-0000-0000-00001F000000}"/>
    <cellStyle name="Excel Built-in Percent" xfId="91" xr:uid="{00000000-0005-0000-0000-000020000000}"/>
    <cellStyle name="Excel Built-in Percent 1" xfId="92" xr:uid="{00000000-0005-0000-0000-000021000000}"/>
    <cellStyle name="Excel Built-in Percent 1 2" xfId="93" xr:uid="{00000000-0005-0000-0000-000022000000}"/>
    <cellStyle name="Excel Built-in Percent 2" xfId="94" xr:uid="{00000000-0005-0000-0000-000023000000}"/>
    <cellStyle name="Excel Built-in Percent 2 2" xfId="95" xr:uid="{00000000-0005-0000-0000-000024000000}"/>
    <cellStyle name="Excel Built-in Percent 2 3" xfId="96" xr:uid="{00000000-0005-0000-0000-000025000000}"/>
    <cellStyle name="Excel Built-in Percent 3" xfId="97" xr:uid="{00000000-0005-0000-0000-000026000000}"/>
    <cellStyle name="Heading" xfId="98" xr:uid="{00000000-0005-0000-0000-000027000000}"/>
    <cellStyle name="Heading 1" xfId="99" xr:uid="{00000000-0005-0000-0000-000028000000}"/>
    <cellStyle name="Heading 1 2" xfId="100" xr:uid="{00000000-0005-0000-0000-000029000000}"/>
    <cellStyle name="Heading 2" xfId="101" xr:uid="{00000000-0005-0000-0000-00002A000000}"/>
    <cellStyle name="Heading 2 2" xfId="102" xr:uid="{00000000-0005-0000-0000-00002B000000}"/>
    <cellStyle name="Heading 3" xfId="103" xr:uid="{00000000-0005-0000-0000-00002C000000}"/>
    <cellStyle name="Heading 4" xfId="104" xr:uid="{00000000-0005-0000-0000-00002D000000}"/>
    <cellStyle name="Heading1" xfId="105" xr:uid="{00000000-0005-0000-0000-00002E000000}"/>
    <cellStyle name="Heading1 1" xfId="106" xr:uid="{00000000-0005-0000-0000-00002F000000}"/>
    <cellStyle name="Heading1 1 2" xfId="107" xr:uid="{00000000-0005-0000-0000-000030000000}"/>
    <cellStyle name="Heading1 2" xfId="108" xr:uid="{00000000-0005-0000-0000-000031000000}"/>
    <cellStyle name="Heading1 2 2" xfId="109" xr:uid="{00000000-0005-0000-0000-000032000000}"/>
    <cellStyle name="Heading1 3" xfId="110" xr:uid="{00000000-0005-0000-0000-000033000000}"/>
    <cellStyle name="Heading1 4" xfId="111" xr:uid="{00000000-0005-0000-0000-000034000000}"/>
    <cellStyle name="Köprü 2" xfId="112" xr:uid="{00000000-0005-0000-0000-000035000000}"/>
    <cellStyle name="Köprü 2 2" xfId="113" xr:uid="{00000000-0005-0000-0000-000036000000}"/>
    <cellStyle name="Köprü 3" xfId="114" xr:uid="{00000000-0005-0000-0000-000037000000}"/>
    <cellStyle name="Köprü 4" xfId="115" xr:uid="{00000000-0005-0000-0000-000038000000}"/>
    <cellStyle name="Normal 10" xfId="116" xr:uid="{00000000-0005-0000-0000-000039000000}"/>
    <cellStyle name="Normal 10 2" xfId="117" xr:uid="{00000000-0005-0000-0000-00003A000000}"/>
    <cellStyle name="Normal 10 2 2" xfId="118" xr:uid="{00000000-0005-0000-0000-00003B000000}"/>
    <cellStyle name="Normal 10 2 3" xfId="119" xr:uid="{00000000-0005-0000-0000-00003C000000}"/>
    <cellStyle name="Normal 10 3" xfId="120" xr:uid="{00000000-0005-0000-0000-00003D000000}"/>
    <cellStyle name="Normal 10 3 2" xfId="121" xr:uid="{00000000-0005-0000-0000-00003E000000}"/>
    <cellStyle name="Normal 10 4" xfId="122" xr:uid="{00000000-0005-0000-0000-00003F000000}"/>
    <cellStyle name="Normal 100" xfId="123" xr:uid="{00000000-0005-0000-0000-000040000000}"/>
    <cellStyle name="Normal 101" xfId="124" xr:uid="{00000000-0005-0000-0000-000041000000}"/>
    <cellStyle name="Normal 102" xfId="125" xr:uid="{00000000-0005-0000-0000-000042000000}"/>
    <cellStyle name="Normal 103" xfId="126" xr:uid="{00000000-0005-0000-0000-000043000000}"/>
    <cellStyle name="Normal 104" xfId="127" xr:uid="{00000000-0005-0000-0000-000044000000}"/>
    <cellStyle name="Normal 104 2" xfId="128" xr:uid="{00000000-0005-0000-0000-000045000000}"/>
    <cellStyle name="Normal 105" xfId="129" xr:uid="{00000000-0005-0000-0000-000046000000}"/>
    <cellStyle name="Normal 106" xfId="130" xr:uid="{00000000-0005-0000-0000-000047000000}"/>
    <cellStyle name="Normal 106 2" xfId="131" xr:uid="{00000000-0005-0000-0000-000048000000}"/>
    <cellStyle name="Normal 107" xfId="132" xr:uid="{00000000-0005-0000-0000-000049000000}"/>
    <cellStyle name="Normal 108" xfId="133" xr:uid="{00000000-0005-0000-0000-00004A000000}"/>
    <cellStyle name="Normal 109" xfId="10" xr:uid="{00000000-0005-0000-0000-000000000000}"/>
    <cellStyle name="Normal 109 2" xfId="78" xr:uid="{00000000-0005-0000-0000-00004B000000}"/>
    <cellStyle name="Normal 11" xfId="134" xr:uid="{00000000-0005-0000-0000-00004C000000}"/>
    <cellStyle name="Normal 11 2" xfId="135" xr:uid="{00000000-0005-0000-0000-00004D000000}"/>
    <cellStyle name="Normal 12" xfId="136" xr:uid="{00000000-0005-0000-0000-00004E000000}"/>
    <cellStyle name="Normal 12 2" xfId="137" xr:uid="{00000000-0005-0000-0000-00004F000000}"/>
    <cellStyle name="Normal 13" xfId="138" xr:uid="{00000000-0005-0000-0000-000050000000}"/>
    <cellStyle name="Normal 13 2" xfId="139" xr:uid="{00000000-0005-0000-0000-000051000000}"/>
    <cellStyle name="Normal 14" xfId="140" xr:uid="{00000000-0005-0000-0000-000052000000}"/>
    <cellStyle name="Normal 15" xfId="141" xr:uid="{00000000-0005-0000-0000-000053000000}"/>
    <cellStyle name="Normal 16" xfId="142" xr:uid="{00000000-0005-0000-0000-000054000000}"/>
    <cellStyle name="Normal 17" xfId="143" xr:uid="{00000000-0005-0000-0000-000055000000}"/>
    <cellStyle name="Normal 18" xfId="144" xr:uid="{00000000-0005-0000-0000-000056000000}"/>
    <cellStyle name="Normal 19" xfId="145" xr:uid="{00000000-0005-0000-0000-000057000000}"/>
    <cellStyle name="Normal 2" xfId="146" xr:uid="{00000000-0005-0000-0000-000058000000}"/>
    <cellStyle name="Normal 2 2" xfId="147" xr:uid="{00000000-0005-0000-0000-000059000000}"/>
    <cellStyle name="Normal 2 2 2" xfId="148" xr:uid="{00000000-0005-0000-0000-00005A000000}"/>
    <cellStyle name="Normal 2 2 2 2" xfId="149" xr:uid="{00000000-0005-0000-0000-00005B000000}"/>
    <cellStyle name="Normal 2 2 2 3" xfId="150" xr:uid="{00000000-0005-0000-0000-00005C000000}"/>
    <cellStyle name="Normal 2 2 2 3 2" xfId="151" xr:uid="{00000000-0005-0000-0000-00005D000000}"/>
    <cellStyle name="Normal 2 2 3" xfId="152" xr:uid="{00000000-0005-0000-0000-00005E000000}"/>
    <cellStyle name="Normal 2 2 4" xfId="153" xr:uid="{00000000-0005-0000-0000-00005F000000}"/>
    <cellStyle name="Normal 2 2 5" xfId="154" xr:uid="{00000000-0005-0000-0000-000060000000}"/>
    <cellStyle name="Normal 2 2 6" xfId="155" xr:uid="{00000000-0005-0000-0000-000061000000}"/>
    <cellStyle name="Normal 2 3" xfId="156" xr:uid="{00000000-0005-0000-0000-000062000000}"/>
    <cellStyle name="Normal 2 3 2" xfId="157" xr:uid="{00000000-0005-0000-0000-000063000000}"/>
    <cellStyle name="Normal 2 3 2 2" xfId="158" xr:uid="{00000000-0005-0000-0000-000064000000}"/>
    <cellStyle name="Normal 2 3 3" xfId="159" xr:uid="{00000000-0005-0000-0000-000065000000}"/>
    <cellStyle name="Normal 2 3 4" xfId="160" xr:uid="{00000000-0005-0000-0000-000066000000}"/>
    <cellStyle name="Normal 2 4" xfId="161" xr:uid="{00000000-0005-0000-0000-000067000000}"/>
    <cellStyle name="Normal 2 5" xfId="162" xr:uid="{00000000-0005-0000-0000-000068000000}"/>
    <cellStyle name="Normal 2 6" xfId="163" xr:uid="{00000000-0005-0000-0000-000069000000}"/>
    <cellStyle name="Normal 2 7" xfId="164" xr:uid="{00000000-0005-0000-0000-00006A000000}"/>
    <cellStyle name="Normal 2 8" xfId="165" xr:uid="{00000000-0005-0000-0000-00006B000000}"/>
    <cellStyle name="Normal 20" xfId="166" xr:uid="{00000000-0005-0000-0000-00006C000000}"/>
    <cellStyle name="Normal 21" xfId="167" xr:uid="{00000000-0005-0000-0000-00006D000000}"/>
    <cellStyle name="Normal 22" xfId="168" xr:uid="{00000000-0005-0000-0000-00006E000000}"/>
    <cellStyle name="Normal 23" xfId="169" xr:uid="{00000000-0005-0000-0000-00006F000000}"/>
    <cellStyle name="Normal 24" xfId="170" xr:uid="{00000000-0005-0000-0000-000070000000}"/>
    <cellStyle name="Normal 25" xfId="171" xr:uid="{00000000-0005-0000-0000-000071000000}"/>
    <cellStyle name="Normal 26" xfId="172" xr:uid="{00000000-0005-0000-0000-000072000000}"/>
    <cellStyle name="Normal 27" xfId="173" xr:uid="{00000000-0005-0000-0000-000073000000}"/>
    <cellStyle name="Normal 28" xfId="174" xr:uid="{00000000-0005-0000-0000-000074000000}"/>
    <cellStyle name="Normal 29" xfId="175" xr:uid="{00000000-0005-0000-0000-000075000000}"/>
    <cellStyle name="Normal 3" xfId="176" xr:uid="{00000000-0005-0000-0000-000076000000}"/>
    <cellStyle name="Normal 3 2" xfId="177" xr:uid="{00000000-0005-0000-0000-000077000000}"/>
    <cellStyle name="Normal 3 2 2" xfId="178" xr:uid="{00000000-0005-0000-0000-000078000000}"/>
    <cellStyle name="Normal 3 2 3" xfId="179" xr:uid="{00000000-0005-0000-0000-000079000000}"/>
    <cellStyle name="Normal 3 2 3 2" xfId="180" xr:uid="{00000000-0005-0000-0000-00007A000000}"/>
    <cellStyle name="Normal 3 2 4" xfId="181" xr:uid="{00000000-0005-0000-0000-00007B000000}"/>
    <cellStyle name="Normal 3 2 5" xfId="182" xr:uid="{00000000-0005-0000-0000-00007C000000}"/>
    <cellStyle name="Normal 3 3" xfId="183" xr:uid="{00000000-0005-0000-0000-00007D000000}"/>
    <cellStyle name="Normal 3 3 2" xfId="184" xr:uid="{00000000-0005-0000-0000-00007E000000}"/>
    <cellStyle name="Normal 3 3 2 2" xfId="185" xr:uid="{00000000-0005-0000-0000-00007F000000}"/>
    <cellStyle name="Normal 3 3 3" xfId="186" xr:uid="{00000000-0005-0000-0000-000080000000}"/>
    <cellStyle name="Normal 3 3 4" xfId="187" xr:uid="{00000000-0005-0000-0000-000081000000}"/>
    <cellStyle name="Normal 3 4" xfId="188" xr:uid="{00000000-0005-0000-0000-000082000000}"/>
    <cellStyle name="Normal 3 5" xfId="189" xr:uid="{00000000-0005-0000-0000-000083000000}"/>
    <cellStyle name="Normal 3 6" xfId="190" xr:uid="{00000000-0005-0000-0000-000084000000}"/>
    <cellStyle name="Normal 3 6 2" xfId="191" xr:uid="{00000000-0005-0000-0000-000085000000}"/>
    <cellStyle name="Normal 3_GENEL GİD.DEĞERLEME" xfId="192" xr:uid="{00000000-0005-0000-0000-000086000000}"/>
    <cellStyle name="Normal 30" xfId="193" xr:uid="{00000000-0005-0000-0000-000087000000}"/>
    <cellStyle name="Normal 31" xfId="194" xr:uid="{00000000-0005-0000-0000-000088000000}"/>
    <cellStyle name="Normal 32" xfId="195" xr:uid="{00000000-0005-0000-0000-000089000000}"/>
    <cellStyle name="Normal 33" xfId="196" xr:uid="{00000000-0005-0000-0000-00008A000000}"/>
    <cellStyle name="Normal 34" xfId="197" xr:uid="{00000000-0005-0000-0000-00008B000000}"/>
    <cellStyle name="Normal 35" xfId="198" xr:uid="{00000000-0005-0000-0000-00008C000000}"/>
    <cellStyle name="Normal 36" xfId="199" xr:uid="{00000000-0005-0000-0000-00008D000000}"/>
    <cellStyle name="Normal 37" xfId="200" xr:uid="{00000000-0005-0000-0000-00008E000000}"/>
    <cellStyle name="Normal 38" xfId="201" xr:uid="{00000000-0005-0000-0000-00008F000000}"/>
    <cellStyle name="Normal 39" xfId="202" xr:uid="{00000000-0005-0000-0000-000090000000}"/>
    <cellStyle name="Normal 4" xfId="203" xr:uid="{00000000-0005-0000-0000-000091000000}"/>
    <cellStyle name="Normal 4 2" xfId="204" xr:uid="{00000000-0005-0000-0000-000092000000}"/>
    <cellStyle name="Normal 4 2 2" xfId="205" xr:uid="{00000000-0005-0000-0000-000093000000}"/>
    <cellStyle name="Normal 4 2 2 2" xfId="206" xr:uid="{00000000-0005-0000-0000-000094000000}"/>
    <cellStyle name="Normal 4 3" xfId="207" xr:uid="{00000000-0005-0000-0000-000095000000}"/>
    <cellStyle name="Normal 4 3 2" xfId="208" xr:uid="{00000000-0005-0000-0000-000096000000}"/>
    <cellStyle name="Normal 4 3 3" xfId="209" xr:uid="{00000000-0005-0000-0000-000097000000}"/>
    <cellStyle name="Normal 4 4" xfId="210" xr:uid="{00000000-0005-0000-0000-000098000000}"/>
    <cellStyle name="Normal 4 4 2" xfId="211" xr:uid="{00000000-0005-0000-0000-000099000000}"/>
    <cellStyle name="Normal 4 4 3" xfId="212" xr:uid="{00000000-0005-0000-0000-00009A000000}"/>
    <cellStyle name="Normal 4 5" xfId="213" xr:uid="{00000000-0005-0000-0000-00009B000000}"/>
    <cellStyle name="Normal 40" xfId="214" xr:uid="{00000000-0005-0000-0000-00009C000000}"/>
    <cellStyle name="Normal 41" xfId="215" xr:uid="{00000000-0005-0000-0000-00009D000000}"/>
    <cellStyle name="Normal 42" xfId="216" xr:uid="{00000000-0005-0000-0000-00009E000000}"/>
    <cellStyle name="Normal 43" xfId="217" xr:uid="{00000000-0005-0000-0000-00009F000000}"/>
    <cellStyle name="Normal 44" xfId="218" xr:uid="{00000000-0005-0000-0000-0000A0000000}"/>
    <cellStyle name="Normal 45" xfId="219" xr:uid="{00000000-0005-0000-0000-0000A1000000}"/>
    <cellStyle name="Normal 46" xfId="220" xr:uid="{00000000-0005-0000-0000-0000A2000000}"/>
    <cellStyle name="Normal 47" xfId="221" xr:uid="{00000000-0005-0000-0000-0000A3000000}"/>
    <cellStyle name="Normal 48" xfId="222" xr:uid="{00000000-0005-0000-0000-0000A4000000}"/>
    <cellStyle name="Normal 49" xfId="223" xr:uid="{00000000-0005-0000-0000-0000A5000000}"/>
    <cellStyle name="Normal 5" xfId="224" xr:uid="{00000000-0005-0000-0000-0000A6000000}"/>
    <cellStyle name="Normal 5 2" xfId="225" xr:uid="{00000000-0005-0000-0000-0000A7000000}"/>
    <cellStyle name="Normal 5 2 2" xfId="226" xr:uid="{00000000-0005-0000-0000-0000A8000000}"/>
    <cellStyle name="Normal 5 2 3" xfId="227" xr:uid="{00000000-0005-0000-0000-0000A9000000}"/>
    <cellStyle name="Normal 5 3" xfId="228" xr:uid="{00000000-0005-0000-0000-0000AA000000}"/>
    <cellStyle name="Normal 5 3 2" xfId="229" xr:uid="{00000000-0005-0000-0000-0000AB000000}"/>
    <cellStyle name="Normal 5 4" xfId="230" xr:uid="{00000000-0005-0000-0000-0000AC000000}"/>
    <cellStyle name="Normal 5 5" xfId="231" xr:uid="{00000000-0005-0000-0000-0000AD000000}"/>
    <cellStyle name="Normal 5 5 2" xfId="232" xr:uid="{00000000-0005-0000-0000-0000AE000000}"/>
    <cellStyle name="Normal 5 5 3" xfId="233" xr:uid="{00000000-0005-0000-0000-0000AF000000}"/>
    <cellStyle name="Normal 50" xfId="234" xr:uid="{00000000-0005-0000-0000-0000B0000000}"/>
    <cellStyle name="Normal 51" xfId="235" xr:uid="{00000000-0005-0000-0000-0000B1000000}"/>
    <cellStyle name="Normal 52" xfId="236" xr:uid="{00000000-0005-0000-0000-0000B2000000}"/>
    <cellStyle name="Normal 53" xfId="237" xr:uid="{00000000-0005-0000-0000-0000B3000000}"/>
    <cellStyle name="Normal 54" xfId="238" xr:uid="{00000000-0005-0000-0000-0000B4000000}"/>
    <cellStyle name="Normal 55" xfId="239" xr:uid="{00000000-0005-0000-0000-0000B5000000}"/>
    <cellStyle name="Normal 56" xfId="240" xr:uid="{00000000-0005-0000-0000-0000B6000000}"/>
    <cellStyle name="Normal 57" xfId="241" xr:uid="{00000000-0005-0000-0000-0000B7000000}"/>
    <cellStyle name="Normal 58" xfId="242" xr:uid="{00000000-0005-0000-0000-0000B8000000}"/>
    <cellStyle name="Normal 59" xfId="243" xr:uid="{00000000-0005-0000-0000-0000B9000000}"/>
    <cellStyle name="Normal 6" xfId="244" xr:uid="{00000000-0005-0000-0000-0000BA000000}"/>
    <cellStyle name="Normal 6 2" xfId="245" xr:uid="{00000000-0005-0000-0000-0000BB000000}"/>
    <cellStyle name="Normal 6 2 2" xfId="246" xr:uid="{00000000-0005-0000-0000-0000BC000000}"/>
    <cellStyle name="Normal 6 3" xfId="247" xr:uid="{00000000-0005-0000-0000-0000BD000000}"/>
    <cellStyle name="Normal 60" xfId="248" xr:uid="{00000000-0005-0000-0000-0000BE000000}"/>
    <cellStyle name="Normal 61" xfId="249" xr:uid="{00000000-0005-0000-0000-0000BF000000}"/>
    <cellStyle name="Normal 62" xfId="250" xr:uid="{00000000-0005-0000-0000-0000C0000000}"/>
    <cellStyle name="Normal 63" xfId="251" xr:uid="{00000000-0005-0000-0000-0000C1000000}"/>
    <cellStyle name="Normal 64" xfId="252" xr:uid="{00000000-0005-0000-0000-0000C2000000}"/>
    <cellStyle name="Normal 65" xfId="253" xr:uid="{00000000-0005-0000-0000-0000C3000000}"/>
    <cellStyle name="Normal 66" xfId="254" xr:uid="{00000000-0005-0000-0000-0000C4000000}"/>
    <cellStyle name="Normal 67" xfId="255" xr:uid="{00000000-0005-0000-0000-0000C5000000}"/>
    <cellStyle name="Normal 68" xfId="256" xr:uid="{00000000-0005-0000-0000-0000C6000000}"/>
    <cellStyle name="Normal 69" xfId="257" xr:uid="{00000000-0005-0000-0000-0000C7000000}"/>
    <cellStyle name="Normal 7" xfId="258" xr:uid="{00000000-0005-0000-0000-0000C8000000}"/>
    <cellStyle name="Normal 7 2" xfId="259" xr:uid="{00000000-0005-0000-0000-0000C9000000}"/>
    <cellStyle name="Normal 7 2 2" xfId="260" xr:uid="{00000000-0005-0000-0000-0000CA000000}"/>
    <cellStyle name="Normal 7 2 3" xfId="261" xr:uid="{00000000-0005-0000-0000-0000CB000000}"/>
    <cellStyle name="Normal 7 3" xfId="262" xr:uid="{00000000-0005-0000-0000-0000CC000000}"/>
    <cellStyle name="Normal 7 4" xfId="263" xr:uid="{00000000-0005-0000-0000-0000CD000000}"/>
    <cellStyle name="Normal 70" xfId="264" xr:uid="{00000000-0005-0000-0000-0000CE000000}"/>
    <cellStyle name="Normal 71" xfId="265" xr:uid="{00000000-0005-0000-0000-0000CF000000}"/>
    <cellStyle name="Normal 72" xfId="266" xr:uid="{00000000-0005-0000-0000-0000D0000000}"/>
    <cellStyle name="Normal 73" xfId="267" xr:uid="{00000000-0005-0000-0000-0000D1000000}"/>
    <cellStyle name="Normal 74" xfId="268" xr:uid="{00000000-0005-0000-0000-0000D2000000}"/>
    <cellStyle name="Normal 75" xfId="269" xr:uid="{00000000-0005-0000-0000-0000D3000000}"/>
    <cellStyle name="Normal 76" xfId="270" xr:uid="{00000000-0005-0000-0000-0000D4000000}"/>
    <cellStyle name="Normal 77" xfId="271" xr:uid="{00000000-0005-0000-0000-0000D5000000}"/>
    <cellStyle name="Normal 78" xfId="272" xr:uid="{00000000-0005-0000-0000-0000D6000000}"/>
    <cellStyle name="Normal 79" xfId="273" xr:uid="{00000000-0005-0000-0000-0000D7000000}"/>
    <cellStyle name="Normal 8" xfId="274" xr:uid="{00000000-0005-0000-0000-0000D8000000}"/>
    <cellStyle name="Normal 8 2" xfId="275" xr:uid="{00000000-0005-0000-0000-0000D9000000}"/>
    <cellStyle name="Normal 8 2 2" xfId="276" xr:uid="{00000000-0005-0000-0000-0000DA000000}"/>
    <cellStyle name="Normal 8 2 3" xfId="277" xr:uid="{00000000-0005-0000-0000-0000DB000000}"/>
    <cellStyle name="Normal 8 2 4" xfId="278" xr:uid="{00000000-0005-0000-0000-0000DC000000}"/>
    <cellStyle name="Normal 8 3" xfId="279" xr:uid="{00000000-0005-0000-0000-0000DD000000}"/>
    <cellStyle name="Normal 8 4" xfId="280" xr:uid="{00000000-0005-0000-0000-0000DE000000}"/>
    <cellStyle name="Normal 8 5" xfId="281" xr:uid="{00000000-0005-0000-0000-0000DF000000}"/>
    <cellStyle name="Normal 80" xfId="282" xr:uid="{00000000-0005-0000-0000-0000E0000000}"/>
    <cellStyle name="Normal 81" xfId="283" xr:uid="{00000000-0005-0000-0000-0000E1000000}"/>
    <cellStyle name="Normal 82" xfId="284" xr:uid="{00000000-0005-0000-0000-0000E2000000}"/>
    <cellStyle name="Normal 83" xfId="285" xr:uid="{00000000-0005-0000-0000-0000E3000000}"/>
    <cellStyle name="Normal 84" xfId="286" xr:uid="{00000000-0005-0000-0000-0000E4000000}"/>
    <cellStyle name="Normal 85" xfId="287" xr:uid="{00000000-0005-0000-0000-0000E5000000}"/>
    <cellStyle name="Normal 86" xfId="288" xr:uid="{00000000-0005-0000-0000-0000E6000000}"/>
    <cellStyle name="Normal 87" xfId="289" xr:uid="{00000000-0005-0000-0000-0000E7000000}"/>
    <cellStyle name="Normal 88" xfId="290" xr:uid="{00000000-0005-0000-0000-0000E8000000}"/>
    <cellStyle name="Normal 89" xfId="291" xr:uid="{00000000-0005-0000-0000-0000E9000000}"/>
    <cellStyle name="Normal 9" xfId="292" xr:uid="{00000000-0005-0000-0000-0000EA000000}"/>
    <cellStyle name="Normal 9 2" xfId="293" xr:uid="{00000000-0005-0000-0000-0000EB000000}"/>
    <cellStyle name="Normal 9 2 2" xfId="294" xr:uid="{00000000-0005-0000-0000-0000EC000000}"/>
    <cellStyle name="Normal 9 3" xfId="295" xr:uid="{00000000-0005-0000-0000-0000ED000000}"/>
    <cellStyle name="Normal 9 4" xfId="296" xr:uid="{00000000-0005-0000-0000-0000EE000000}"/>
    <cellStyle name="Normal 90" xfId="297" xr:uid="{00000000-0005-0000-0000-0000EF000000}"/>
    <cellStyle name="Normal 91" xfId="298" xr:uid="{00000000-0005-0000-0000-0000F0000000}"/>
    <cellStyle name="Normal 92" xfId="299" xr:uid="{00000000-0005-0000-0000-0000F1000000}"/>
    <cellStyle name="Normal 93" xfId="300" xr:uid="{00000000-0005-0000-0000-0000F2000000}"/>
    <cellStyle name="Normal 94" xfId="301" xr:uid="{00000000-0005-0000-0000-0000F3000000}"/>
    <cellStyle name="Normal 95" xfId="302" xr:uid="{00000000-0005-0000-0000-0000F4000000}"/>
    <cellStyle name="Normal 96" xfId="303" xr:uid="{00000000-0005-0000-0000-0000F5000000}"/>
    <cellStyle name="Normal 97" xfId="304" xr:uid="{00000000-0005-0000-0000-0000F6000000}"/>
    <cellStyle name="Normal 98" xfId="305" xr:uid="{00000000-0005-0000-0000-0000F7000000}"/>
    <cellStyle name="Normal 99" xfId="306" xr:uid="{00000000-0005-0000-0000-0000F8000000}"/>
    <cellStyle name="Normal_2001 GENEL MALIYET" xfId="9" xr:uid="{00000000-0005-0000-0000-000001000000}"/>
    <cellStyle name="Not 2" xfId="307" xr:uid="{00000000-0005-0000-0000-0000FA000000}"/>
    <cellStyle name="Not 3" xfId="308" xr:uid="{00000000-0005-0000-0000-0000FB000000}"/>
    <cellStyle name="ParaBirimi 2" xfId="309" xr:uid="{00000000-0005-0000-0000-0000FC000000}"/>
    <cellStyle name="ParaBirimi 2 2" xfId="310" xr:uid="{00000000-0005-0000-0000-0000FD000000}"/>
    <cellStyle name="Result" xfId="311" xr:uid="{00000000-0005-0000-0000-0000FE000000}"/>
    <cellStyle name="Result 1" xfId="312" xr:uid="{00000000-0005-0000-0000-0000FF000000}"/>
    <cellStyle name="Result 1 2" xfId="313" xr:uid="{00000000-0005-0000-0000-000000010000}"/>
    <cellStyle name="Result 2" xfId="314" xr:uid="{00000000-0005-0000-0000-000001010000}"/>
    <cellStyle name="Result 2 2" xfId="315" xr:uid="{00000000-0005-0000-0000-000002010000}"/>
    <cellStyle name="Result 3" xfId="316" xr:uid="{00000000-0005-0000-0000-000003010000}"/>
    <cellStyle name="Result 4" xfId="317" xr:uid="{00000000-0005-0000-0000-000004010000}"/>
    <cellStyle name="Result2" xfId="318" xr:uid="{00000000-0005-0000-0000-000005010000}"/>
    <cellStyle name="Result2 1" xfId="319" xr:uid="{00000000-0005-0000-0000-000006010000}"/>
    <cellStyle name="Result2 1 2" xfId="320" xr:uid="{00000000-0005-0000-0000-000007010000}"/>
    <cellStyle name="Result2 2" xfId="321" xr:uid="{00000000-0005-0000-0000-000008010000}"/>
    <cellStyle name="Result2 2 2" xfId="322" xr:uid="{00000000-0005-0000-0000-000009010000}"/>
    <cellStyle name="Result2 3" xfId="323" xr:uid="{00000000-0005-0000-0000-00000A010000}"/>
    <cellStyle name="Result2 4" xfId="324" xr:uid="{00000000-0005-0000-0000-00000B010000}"/>
    <cellStyle name="Stil 1" xfId="431" xr:uid="{00000000-0005-0000-0000-00000C010000}"/>
    <cellStyle name="Virgül [0]_B1" xfId="325" xr:uid="{00000000-0005-0000-0000-00000D010000}"/>
    <cellStyle name="Virgül 10" xfId="326" xr:uid="{00000000-0005-0000-0000-00000E010000}"/>
    <cellStyle name="Virgül 10 2" xfId="327" xr:uid="{00000000-0005-0000-0000-00000F010000}"/>
    <cellStyle name="Virgül 10 2 2" xfId="465" xr:uid="{CEB3B9BC-792B-4378-9A01-317CC907A281}"/>
    <cellStyle name="Virgül 11" xfId="328" xr:uid="{00000000-0005-0000-0000-000010010000}"/>
    <cellStyle name="Virgül 11 2" xfId="329" xr:uid="{00000000-0005-0000-0000-000011010000}"/>
    <cellStyle name="Virgül 11 2 2" xfId="466" xr:uid="{FB8D186C-C7B4-4929-9E37-095638217694}"/>
    <cellStyle name="Virgül 12" xfId="330" xr:uid="{00000000-0005-0000-0000-000012010000}"/>
    <cellStyle name="Virgül 13" xfId="331" xr:uid="{00000000-0005-0000-0000-000013010000}"/>
    <cellStyle name="Virgül 14" xfId="332" xr:uid="{00000000-0005-0000-0000-000014010000}"/>
    <cellStyle name="Virgül 15" xfId="333" xr:uid="{00000000-0005-0000-0000-000015010000}"/>
    <cellStyle name="Virgül 15 2" xfId="334" xr:uid="{00000000-0005-0000-0000-000016010000}"/>
    <cellStyle name="Virgül 16" xfId="335" xr:uid="{00000000-0005-0000-0000-000017010000}"/>
    <cellStyle name="Virgül 17" xfId="336" xr:uid="{00000000-0005-0000-0000-000018010000}"/>
    <cellStyle name="Virgül 18" xfId="337" xr:uid="{00000000-0005-0000-0000-000019010000}"/>
    <cellStyle name="Virgül 19" xfId="338" xr:uid="{00000000-0005-0000-0000-00001A010000}"/>
    <cellStyle name="Virgül 2" xfId="339" xr:uid="{00000000-0005-0000-0000-00001B010000}"/>
    <cellStyle name="Virgül 2 2" xfId="340" xr:uid="{00000000-0005-0000-0000-00001C010000}"/>
    <cellStyle name="Virgül 2 2 2" xfId="341" xr:uid="{00000000-0005-0000-0000-00001D010000}"/>
    <cellStyle name="Virgül 2 2 3" xfId="342" xr:uid="{00000000-0005-0000-0000-00001E010000}"/>
    <cellStyle name="Virgül 2 2 3 2" xfId="468" xr:uid="{F85D3459-7CA3-4AB4-B3D8-F91FA2B3397B}"/>
    <cellStyle name="Virgül 2 3" xfId="343" xr:uid="{00000000-0005-0000-0000-00001F010000}"/>
    <cellStyle name="Virgül 2 3 2" xfId="344" xr:uid="{00000000-0005-0000-0000-000020010000}"/>
    <cellStyle name="Virgül 2 3 2 2" xfId="345" xr:uid="{00000000-0005-0000-0000-000021010000}"/>
    <cellStyle name="Virgül 2 3 2 2 2" xfId="470" xr:uid="{179FAD6F-6F3A-441F-99F3-42247E4D0E1D}"/>
    <cellStyle name="Virgül 2 3 2 3" xfId="469" xr:uid="{BD19E972-92FF-4789-9681-B27058BBA63D}"/>
    <cellStyle name="Virgül 2 3 3" xfId="346" xr:uid="{00000000-0005-0000-0000-000022010000}"/>
    <cellStyle name="Virgül 2 4" xfId="347" xr:uid="{00000000-0005-0000-0000-000023010000}"/>
    <cellStyle name="Virgül 2 4 2" xfId="471" xr:uid="{B577E6A7-5BE2-4310-AEFE-8507E79055D0}"/>
    <cellStyle name="Virgül 2 5" xfId="467" xr:uid="{6890D836-BA0D-432C-84AB-73F02844F720}"/>
    <cellStyle name="Virgül 20" xfId="348" xr:uid="{00000000-0005-0000-0000-000024010000}"/>
    <cellStyle name="Virgül 21" xfId="349" xr:uid="{00000000-0005-0000-0000-000025010000}"/>
    <cellStyle name="Virgül 22" xfId="350" xr:uid="{00000000-0005-0000-0000-000026010000}"/>
    <cellStyle name="Virgül 23" xfId="351" xr:uid="{00000000-0005-0000-0000-000027010000}"/>
    <cellStyle name="Virgül 24" xfId="352" xr:uid="{00000000-0005-0000-0000-000028010000}"/>
    <cellStyle name="Virgül 25" xfId="353" xr:uid="{00000000-0005-0000-0000-000029010000}"/>
    <cellStyle name="Virgül 3" xfId="354" xr:uid="{00000000-0005-0000-0000-00002A010000}"/>
    <cellStyle name="Virgül 3 2" xfId="355" xr:uid="{00000000-0005-0000-0000-00002B010000}"/>
    <cellStyle name="Virgül 3 2 2" xfId="356" xr:uid="{00000000-0005-0000-0000-00002C010000}"/>
    <cellStyle name="Virgül 3 2 2 2" xfId="474" xr:uid="{589E5613-E69C-4B70-91BD-81384B8F75D3}"/>
    <cellStyle name="Virgül 3 2 3" xfId="473" xr:uid="{720A2298-04E4-4845-BA92-5995D1448C26}"/>
    <cellStyle name="Virgül 3 3" xfId="357" xr:uid="{00000000-0005-0000-0000-00002D010000}"/>
    <cellStyle name="Virgül 3 4" xfId="432" xr:uid="{00000000-0005-0000-0000-00002E010000}"/>
    <cellStyle name="Virgül 3 5" xfId="472" xr:uid="{2D577412-3E16-46D5-8C7D-C22567229F82}"/>
    <cellStyle name="Virgül 4" xfId="358" xr:uid="{00000000-0005-0000-0000-00002F010000}"/>
    <cellStyle name="Virgül 4 2" xfId="359" xr:uid="{00000000-0005-0000-0000-000030010000}"/>
    <cellStyle name="Virgül 4 2 2" xfId="360" xr:uid="{00000000-0005-0000-0000-000031010000}"/>
    <cellStyle name="Virgül 4 2 2 2" xfId="476" xr:uid="{C369DAAD-C9BB-47DC-A218-76BF81209AB4}"/>
    <cellStyle name="Virgül 4 2 3" xfId="475" xr:uid="{D52F0DD5-67EC-4AD3-8A1D-37235C13B947}"/>
    <cellStyle name="Virgül 4 3" xfId="361" xr:uid="{00000000-0005-0000-0000-000032010000}"/>
    <cellStyle name="Virgül 4 4" xfId="362" xr:uid="{00000000-0005-0000-0000-000033010000}"/>
    <cellStyle name="Virgül 4 4 2" xfId="477" xr:uid="{E194B039-FE55-45E9-9FA1-3B5F663A05A3}"/>
    <cellStyle name="Virgül 4 5" xfId="363" xr:uid="{00000000-0005-0000-0000-000034010000}"/>
    <cellStyle name="Virgül 5" xfId="364" xr:uid="{00000000-0005-0000-0000-000035010000}"/>
    <cellStyle name="Virgül 5 2" xfId="365" xr:uid="{00000000-0005-0000-0000-000036010000}"/>
    <cellStyle name="Virgül 5 2 2" xfId="366" xr:uid="{00000000-0005-0000-0000-000037010000}"/>
    <cellStyle name="Virgül 5 2 2 2" xfId="367" xr:uid="{00000000-0005-0000-0000-000038010000}"/>
    <cellStyle name="Virgül 5 2 2 2 2" xfId="479" xr:uid="{4B4739CE-9C28-4F6D-A569-1098D29BEBC1}"/>
    <cellStyle name="Virgül 5 2 3" xfId="478" xr:uid="{5DD3B129-3C99-463E-8F36-0B82FC1B1324}"/>
    <cellStyle name="Virgül 5 3" xfId="368" xr:uid="{00000000-0005-0000-0000-000039010000}"/>
    <cellStyle name="Virgül 5 3 2" xfId="480" xr:uid="{A8336112-86E0-48A3-8D8D-CF6F3E599441}"/>
    <cellStyle name="Virgül 5 4" xfId="369" xr:uid="{00000000-0005-0000-0000-00003A010000}"/>
    <cellStyle name="Virgül 6" xfId="370" xr:uid="{00000000-0005-0000-0000-00003B010000}"/>
    <cellStyle name="Virgül 6 2" xfId="371" xr:uid="{00000000-0005-0000-0000-00003C010000}"/>
    <cellStyle name="Virgül 6 2 2" xfId="481" xr:uid="{65E14F10-963B-4E44-B530-ACF577C15550}"/>
    <cellStyle name="Virgül 6 3" xfId="372" xr:uid="{00000000-0005-0000-0000-00003D010000}"/>
    <cellStyle name="Virgül 7" xfId="373" xr:uid="{00000000-0005-0000-0000-00003E010000}"/>
    <cellStyle name="Virgül 7 2" xfId="374" xr:uid="{00000000-0005-0000-0000-00003F010000}"/>
    <cellStyle name="Virgül 7 3" xfId="375" xr:uid="{00000000-0005-0000-0000-000040010000}"/>
    <cellStyle name="Virgül 7 3 2" xfId="483" xr:uid="{D9B64414-3B59-4125-AD6E-CB2B08929E32}"/>
    <cellStyle name="Virgül 7 4" xfId="482" xr:uid="{BA06AAD7-C1FB-452D-97EE-99EE423B8646}"/>
    <cellStyle name="Virgül 8" xfId="376" xr:uid="{00000000-0005-0000-0000-000041010000}"/>
    <cellStyle name="Virgül 8 2" xfId="377" xr:uid="{00000000-0005-0000-0000-000042010000}"/>
    <cellStyle name="Virgül 8 3" xfId="378" xr:uid="{00000000-0005-0000-0000-000043010000}"/>
    <cellStyle name="Virgül 8 3 2" xfId="485" xr:uid="{F5559FAC-499E-4930-90ED-EBAF8156CB88}"/>
    <cellStyle name="Virgül 8 4" xfId="484" xr:uid="{837CEB0C-BA6F-4A5C-84A1-D44B689FA86D}"/>
    <cellStyle name="Virgül 9" xfId="379" xr:uid="{00000000-0005-0000-0000-000044010000}"/>
    <cellStyle name="Virgül 9 2" xfId="380" xr:uid="{00000000-0005-0000-0000-000045010000}"/>
    <cellStyle name="Virgül 9 3" xfId="381" xr:uid="{00000000-0005-0000-0000-000046010000}"/>
    <cellStyle name="Virgül 9 3 2" xfId="487" xr:uid="{9E679F5C-A005-47FC-B78B-4BF90F13EBDF}"/>
    <cellStyle name="Virgül 9 4" xfId="486" xr:uid="{5658C18B-2B9C-4BCA-9C28-CE9A8AF6EF10}"/>
    <cellStyle name="Yüzde 10" xfId="382" xr:uid="{00000000-0005-0000-0000-000047010000}"/>
    <cellStyle name="Yüzde 10 2" xfId="383" xr:uid="{00000000-0005-0000-0000-000048010000}"/>
    <cellStyle name="Yüzde 11" xfId="384" xr:uid="{00000000-0005-0000-0000-000049010000}"/>
    <cellStyle name="Yüzde 12" xfId="11" xr:uid="{00000000-0005-0000-0000-000002000000}"/>
    <cellStyle name="Yüzde 2" xfId="385" xr:uid="{00000000-0005-0000-0000-00004B010000}"/>
    <cellStyle name="Yüzde 2 2" xfId="386" xr:uid="{00000000-0005-0000-0000-00004C010000}"/>
    <cellStyle name="Yüzde 2 2 2" xfId="387" xr:uid="{00000000-0005-0000-0000-00004D010000}"/>
    <cellStyle name="Yüzde 2 3" xfId="388" xr:uid="{00000000-0005-0000-0000-00004E010000}"/>
    <cellStyle name="Yüzde 2 4" xfId="389" xr:uid="{00000000-0005-0000-0000-00004F010000}"/>
    <cellStyle name="Yüzde 3" xfId="390" xr:uid="{00000000-0005-0000-0000-000050010000}"/>
    <cellStyle name="Yüzde 3 2" xfId="391" xr:uid="{00000000-0005-0000-0000-000051010000}"/>
    <cellStyle name="Yüzde 3 3" xfId="392" xr:uid="{00000000-0005-0000-0000-000052010000}"/>
    <cellStyle name="Yüzde 3 3 2" xfId="393" xr:uid="{00000000-0005-0000-0000-000053010000}"/>
    <cellStyle name="Yüzde 3 4" xfId="394" xr:uid="{00000000-0005-0000-0000-000054010000}"/>
    <cellStyle name="Yüzde 3 5" xfId="395" xr:uid="{00000000-0005-0000-0000-000055010000}"/>
    <cellStyle name="Yüzde 4" xfId="396" xr:uid="{00000000-0005-0000-0000-000056010000}"/>
    <cellStyle name="Yüzde 4 2" xfId="397" xr:uid="{00000000-0005-0000-0000-000057010000}"/>
    <cellStyle name="Yüzde 4 3" xfId="398" xr:uid="{00000000-0005-0000-0000-000058010000}"/>
    <cellStyle name="Yüzde 5" xfId="399" xr:uid="{00000000-0005-0000-0000-000059010000}"/>
    <cellStyle name="Yüzde 5 2" xfId="400" xr:uid="{00000000-0005-0000-0000-00005A010000}"/>
    <cellStyle name="Yüzde 5 2 2" xfId="401" xr:uid="{00000000-0005-0000-0000-00005B010000}"/>
    <cellStyle name="Yüzde 6" xfId="402" xr:uid="{00000000-0005-0000-0000-00005C010000}"/>
    <cellStyle name="Yüzde 6 2" xfId="403" xr:uid="{00000000-0005-0000-0000-00005D010000}"/>
    <cellStyle name="Yüzde 7" xfId="404" xr:uid="{00000000-0005-0000-0000-00005E010000}"/>
    <cellStyle name="Yüzde 7 2" xfId="405" xr:uid="{00000000-0005-0000-0000-00005F010000}"/>
    <cellStyle name="Yüzde 8" xfId="406" xr:uid="{00000000-0005-0000-0000-000060010000}"/>
    <cellStyle name="Yüzde 8 2" xfId="407" xr:uid="{00000000-0005-0000-0000-000061010000}"/>
    <cellStyle name="Yüzde 8 3" xfId="408" xr:uid="{00000000-0005-0000-0000-000062010000}"/>
    <cellStyle name="Yüzde 9" xfId="409" xr:uid="{00000000-0005-0000-0000-000063010000}"/>
    <cellStyle name="Акцент1 2" xfId="54" xr:uid="{00000000-0005-0000-0000-000064010000}"/>
    <cellStyle name="Акцент2 2" xfId="58" xr:uid="{00000000-0005-0000-0000-000065010000}"/>
    <cellStyle name="Акцент3 2" xfId="62" xr:uid="{00000000-0005-0000-0000-000066010000}"/>
    <cellStyle name="Акцент4 2" xfId="66" xr:uid="{00000000-0005-0000-0000-000067010000}"/>
    <cellStyle name="Акцент5 2" xfId="70" xr:uid="{00000000-0005-0000-0000-000068010000}"/>
    <cellStyle name="Акцент6 2" xfId="74" xr:uid="{00000000-0005-0000-0000-000069010000}"/>
    <cellStyle name="Ввод  2" xfId="46" xr:uid="{00000000-0005-0000-0000-00006A010000}"/>
    <cellStyle name="Вывод 2" xfId="47" xr:uid="{00000000-0005-0000-0000-00006B010000}"/>
    <cellStyle name="Вычисление 2" xfId="48" xr:uid="{00000000-0005-0000-0000-00006C010000}"/>
    <cellStyle name="Заголовок 1 2" xfId="39" xr:uid="{00000000-0005-0000-0000-00006D010000}"/>
    <cellStyle name="Заголовок 2 2" xfId="40" xr:uid="{00000000-0005-0000-0000-00006E010000}"/>
    <cellStyle name="Заголовок 3 2" xfId="41" xr:uid="{00000000-0005-0000-0000-00006F010000}"/>
    <cellStyle name="Заголовок 4 2" xfId="42" xr:uid="{00000000-0005-0000-0000-000070010000}"/>
    <cellStyle name="Итог 2" xfId="53" xr:uid="{00000000-0005-0000-0000-000071010000}"/>
    <cellStyle name="Контрольная ячейка 2" xfId="50" xr:uid="{00000000-0005-0000-0000-000072010000}"/>
    <cellStyle name="Нейтральный 2" xfId="45" xr:uid="{00000000-0005-0000-0000-000073010000}"/>
    <cellStyle name="Обычный" xfId="0" builtinId="0"/>
    <cellStyle name="Обычный 10" xfId="36" xr:uid="{00000000-0005-0000-0000-0000AF010000}"/>
    <cellStyle name="Обычный 2" xfId="1" xr:uid="{00000000-0005-0000-0000-000004000000}"/>
    <cellStyle name="Обычный 2 2" xfId="12" xr:uid="{00000000-0005-0000-0000-000005000000}"/>
    <cellStyle name="Обычный 2 2 2" xfId="22" xr:uid="{00000000-0005-0000-0000-000006000000}"/>
    <cellStyle name="Обычный 2 2 2 2" xfId="27" xr:uid="{00000000-0005-0000-0000-000007000000}"/>
    <cellStyle name="Обычный 2 2 2 2 2" xfId="419" xr:uid="{00000000-0005-0000-0000-000079010000}"/>
    <cellStyle name="Обычный 2 2 2 2 2 2" xfId="457" xr:uid="{00000000-0005-0000-0000-00007A010000}"/>
    <cellStyle name="Обычный 2 2 2 2 2 2 2" xfId="533" xr:uid="{9AE0A38E-0275-4059-A0CA-131CC590DAD8}"/>
    <cellStyle name="Обычный 2 2 2 2 2 3" xfId="506" xr:uid="{51A514DE-33CC-4A28-818B-91CAE18A276B}"/>
    <cellStyle name="Обычный 2 2 2 2 3" xfId="444" xr:uid="{00000000-0005-0000-0000-00007B010000}"/>
    <cellStyle name="Обычный 2 2 2 2 3 2" xfId="520" xr:uid="{805CDE8D-3230-4B7A-8820-5272149D4148}"/>
    <cellStyle name="Обычный 2 2 2 2 4" xfId="493" xr:uid="{CD06490D-F112-43A5-877A-6C12B0CD2174}"/>
    <cellStyle name="Обычный 2 2 2 3" xfId="427" xr:uid="{00000000-0005-0000-0000-00007C010000}"/>
    <cellStyle name="Обычный 2 2 2 3 2" xfId="463" xr:uid="{00000000-0005-0000-0000-00007D010000}"/>
    <cellStyle name="Обычный 2 2 2 3 2 2" xfId="538" xr:uid="{58E19086-2E22-4560-AD01-5941C0AD6FCB}"/>
    <cellStyle name="Обычный 2 2 2 3 3" xfId="511" xr:uid="{97B4F3C4-0AE8-4CDA-A7D2-9B0424F02485}"/>
    <cellStyle name="Обычный 2 2 2 4" xfId="416" xr:uid="{00000000-0005-0000-0000-00007E010000}"/>
    <cellStyle name="Обычный 2 2 2 4 2" xfId="453" xr:uid="{00000000-0005-0000-0000-00007F010000}"/>
    <cellStyle name="Обычный 2 2 2 4 2 2" xfId="529" xr:uid="{B299EB71-69ED-4A7B-9D88-ED1BFF0A632A}"/>
    <cellStyle name="Обычный 2 2 2 4 3" xfId="502" xr:uid="{169CE6D3-81CD-42D0-A869-1C554CE925F8}"/>
    <cellStyle name="Обычный 2 2 2 5" xfId="440" xr:uid="{00000000-0005-0000-0000-000080010000}"/>
    <cellStyle name="Обычный 2 2 2 5 2" xfId="516" xr:uid="{BFC350AE-671D-4E5F-B009-7C5AA818FA60}"/>
    <cellStyle name="Обычный 2 2 2 6" xfId="490" xr:uid="{85D93036-D737-4133-9EFE-81938D288AB7}"/>
    <cellStyle name="Обычный 2 2 3" xfId="24" xr:uid="{00000000-0005-0000-0000-000008000000}"/>
    <cellStyle name="Обычный 2 2 3 2" xfId="417" xr:uid="{00000000-0005-0000-0000-000082010000}"/>
    <cellStyle name="Обычный 2 2 3 2 2" xfId="454" xr:uid="{00000000-0005-0000-0000-000083010000}"/>
    <cellStyle name="Обычный 2 2 3 2 2 2" xfId="530" xr:uid="{67AC0283-9EE0-45C5-9683-2FE7C483C2C1}"/>
    <cellStyle name="Обычный 2 2 3 2 3" xfId="503" xr:uid="{2340455C-EA45-4FEA-B037-9689EE873F89}"/>
    <cellStyle name="Обычный 2 2 3 3" xfId="441" xr:uid="{00000000-0005-0000-0000-000084010000}"/>
    <cellStyle name="Обычный 2 2 3 3 2" xfId="517" xr:uid="{DCA46EA9-69D0-4E03-9FD5-8FFBFCAFE583}"/>
    <cellStyle name="Обычный 2 2 3 4" xfId="491" xr:uid="{C9BB2C38-4BE9-4599-848B-4AA4E7A75539}"/>
    <cellStyle name="Обычный 2 2 4" xfId="29" xr:uid="{00000000-0005-0000-0000-000009000000}"/>
    <cellStyle name="Обычный 2 2 4 2" xfId="421" xr:uid="{00000000-0005-0000-0000-000086010000}"/>
    <cellStyle name="Обычный 2 2 4 2 2" xfId="459" xr:uid="{00000000-0005-0000-0000-000087010000}"/>
    <cellStyle name="Обычный 2 2 4 2 2 2" xfId="535" xr:uid="{E46EA0E0-3EC2-458C-B78B-C4F5CB4793F2}"/>
    <cellStyle name="Обычный 2 2 4 2 3" xfId="508" xr:uid="{003007EB-3BA8-4F39-B77E-305FF2B3DA81}"/>
    <cellStyle name="Обычный 2 2 4 3" xfId="446" xr:uid="{00000000-0005-0000-0000-000088010000}"/>
    <cellStyle name="Обычный 2 2 4 3 2" xfId="522" xr:uid="{B8F57EDF-5681-457E-8569-1D146BE9F426}"/>
    <cellStyle name="Обычный 2 2 4 4" xfId="495" xr:uid="{14CEA366-7615-4B79-9061-68135DCEE690}"/>
    <cellStyle name="Обычный 2 2 5" xfId="32" xr:uid="{00000000-0005-0000-0000-00000A000000}"/>
    <cellStyle name="Обычный 2 2 5 2" xfId="425" xr:uid="{00000000-0005-0000-0000-00008A010000}"/>
    <cellStyle name="Обычный 2 2 5 2 2" xfId="461" xr:uid="{00000000-0005-0000-0000-00008B010000}"/>
    <cellStyle name="Обычный 2 2 5 2 2 2" xfId="537" xr:uid="{EF11E17C-F013-42BF-9222-F43021238123}"/>
    <cellStyle name="Обычный 2 2 5 2 3" xfId="510" xr:uid="{3E7616F9-870E-48D4-8DF0-306E4AD509F5}"/>
    <cellStyle name="Обычный 2 2 5 3" xfId="448" xr:uid="{00000000-0005-0000-0000-00008C010000}"/>
    <cellStyle name="Обычный 2 2 5 3 2" xfId="524" xr:uid="{F1D0C252-8D42-48BE-9D7A-5722DF7F076B}"/>
    <cellStyle name="Обычный 2 2 5 4" xfId="497" xr:uid="{7D36E2A2-692F-4F90-8423-C68E86277E3E}"/>
    <cellStyle name="Обычный 2 2 6" xfId="412" xr:uid="{00000000-0005-0000-0000-00008D010000}"/>
    <cellStyle name="Обычный 2 2 6 2" xfId="450" xr:uid="{00000000-0005-0000-0000-00008E010000}"/>
    <cellStyle name="Обычный 2 2 6 2 2" xfId="526" xr:uid="{D55686F2-4395-4172-9368-2265D2A18133}"/>
    <cellStyle name="Обычный 2 2 6 3" xfId="499" xr:uid="{067B5B74-9455-4703-9790-EF8CB87F0E20}"/>
    <cellStyle name="Обычный 2 2 7" xfId="437" xr:uid="{00000000-0005-0000-0000-00008F010000}"/>
    <cellStyle name="Обычный 2 2 7 2" xfId="513" xr:uid="{3CEF22DE-D739-4C76-B351-CF1E0AE5CE50}"/>
    <cellStyle name="Обычный 2 2 8" xfId="488" xr:uid="{F932F860-7E04-4FB9-B283-9521BC8D766C}"/>
    <cellStyle name="Обычный 2 3" xfId="13" xr:uid="{00000000-0005-0000-0000-00000B000000}"/>
    <cellStyle name="Обычный 2 3 2" xfId="25" xr:uid="{00000000-0005-0000-0000-00000C000000}"/>
    <cellStyle name="Обычный 2 3 2 2" xfId="418" xr:uid="{00000000-0005-0000-0000-000092010000}"/>
    <cellStyle name="Обычный 2 3 2 2 2" xfId="455" xr:uid="{00000000-0005-0000-0000-000093010000}"/>
    <cellStyle name="Обычный 2 3 2 2 2 2" xfId="531" xr:uid="{CE8A2C65-8CD5-4951-9926-D29B98727BA9}"/>
    <cellStyle name="Обычный 2 3 2 2 3" xfId="504" xr:uid="{E2943CF2-1C2E-49AB-A5A9-5B94E9084A12}"/>
    <cellStyle name="Обычный 2 3 2 3" xfId="442" xr:uid="{00000000-0005-0000-0000-000094010000}"/>
    <cellStyle name="Обычный 2 3 2 3 2" xfId="518" xr:uid="{012D21F4-65AC-4F32-A226-F8F63E41E02B}"/>
    <cellStyle name="Обычный 2 3 2 4" xfId="492" xr:uid="{7F1A431C-F322-478D-8F72-A3A4C3C5C1F9}"/>
    <cellStyle name="Обычный 2 3 3" xfId="20" xr:uid="{00000000-0005-0000-0000-00000D000000}"/>
    <cellStyle name="Обычный 2 3 3 2" xfId="451" xr:uid="{00000000-0005-0000-0000-000096010000}"/>
    <cellStyle name="Обычный 2 3 3 2 2" xfId="527" xr:uid="{8778A66B-DA6A-4E0A-B37F-EDD9248231C6}"/>
    <cellStyle name="Обычный 2 3 3 3" xfId="500" xr:uid="{971AF6C0-0BA8-4308-B812-C7A46E92A403}"/>
    <cellStyle name="Обычный 2 3 4" xfId="415" xr:uid="{00000000-0005-0000-0000-000097010000}"/>
    <cellStyle name="Обычный 2 3 5" xfId="438" xr:uid="{00000000-0005-0000-0000-000098010000}"/>
    <cellStyle name="Обычный 2 3 5 2" xfId="514" xr:uid="{C82C6AB9-9C53-4342-AC6A-E23CFB3980A7}"/>
    <cellStyle name="Обычный 2 3 6" xfId="37" xr:uid="{00000000-0005-0000-0000-000090010000}"/>
    <cellStyle name="Обычный 2 4" xfId="5" xr:uid="{00000000-0005-0000-0000-00000E000000}"/>
    <cellStyle name="Обычный 2 4 2" xfId="21" xr:uid="{00000000-0005-0000-0000-00000F000000}"/>
    <cellStyle name="Обычный 2 4 2 2" xfId="452" xr:uid="{00000000-0005-0000-0000-00009B010000}"/>
    <cellStyle name="Обычный 2 4 2 2 2" xfId="528" xr:uid="{F486C5B9-7C83-4BA5-9F90-CF0EE8548409}"/>
    <cellStyle name="Обычный 2 4 2 3" xfId="501" xr:uid="{B58E6C3C-AC53-4F95-8406-71BA12EFBDD8}"/>
    <cellStyle name="Обычный 2 4 3" xfId="439" xr:uid="{00000000-0005-0000-0000-00009C010000}"/>
    <cellStyle name="Обычный 2 4 3 2" xfId="515" xr:uid="{C11FFD30-F901-47AA-9497-FEE7352F0B38}"/>
    <cellStyle name="Обычный 2 4 4" xfId="489" xr:uid="{D1359A3F-6C70-4403-84ED-2E7CDE9AFA08}"/>
    <cellStyle name="Обычный 2 5" xfId="31" xr:uid="{00000000-0005-0000-0000-000010000000}"/>
    <cellStyle name="Обычный 2 5 2" xfId="424" xr:uid="{00000000-0005-0000-0000-00009E010000}"/>
    <cellStyle name="Обычный 2 5 2 2" xfId="460" xr:uid="{00000000-0005-0000-0000-00009F010000}"/>
    <cellStyle name="Обычный 2 5 2 2 2" xfId="536" xr:uid="{2186156C-F18A-42A0-9A3A-CD09676A36D1}"/>
    <cellStyle name="Обычный 2 5 2 3" xfId="509" xr:uid="{3B08D344-7B8A-40DF-9F8E-38195424186B}"/>
    <cellStyle name="Обычный 2 5 3" xfId="447" xr:uid="{00000000-0005-0000-0000-0000A0010000}"/>
    <cellStyle name="Обычный 2 5 3 2" xfId="523" xr:uid="{897F02B5-6E15-41FA-B8D2-1ABBA1611118}"/>
    <cellStyle name="Обычный 2 5 4" xfId="496" xr:uid="{E662A8A1-52E6-4685-9ABE-4A92B8EE55F4}"/>
    <cellStyle name="Обычный 2 6" xfId="436" xr:uid="{00000000-0005-0000-0000-0000A1010000}"/>
    <cellStyle name="Обычный 2 6 2" xfId="464" xr:uid="{00000000-0005-0000-0000-0000A2010000}"/>
    <cellStyle name="Обычный 2 6 2 2" xfId="539" xr:uid="{A2D29273-13BC-47C0-9A2E-1B8859306ACB}"/>
    <cellStyle name="Обычный 2 6 3" xfId="512" xr:uid="{FE6E9C78-39EC-4960-A293-3B031518E0B5}"/>
    <cellStyle name="Обычный 3" xfId="3" xr:uid="{00000000-0005-0000-0000-000011000000}"/>
    <cellStyle name="Обычный 3 2" xfId="15" xr:uid="{00000000-0005-0000-0000-000012000000}"/>
    <cellStyle name="Обычный 3 2 2" xfId="23" xr:uid="{00000000-0005-0000-0000-000013000000}"/>
    <cellStyle name="Обычный 3 3" xfId="16" xr:uid="{00000000-0005-0000-0000-000014000000}"/>
    <cellStyle name="Обычный 3 4" xfId="14" xr:uid="{00000000-0005-0000-0000-000015000000}"/>
    <cellStyle name="Обычный 3 5" xfId="6" xr:uid="{00000000-0005-0000-0000-000016000000}"/>
    <cellStyle name="Обычный 4" xfId="4" xr:uid="{00000000-0005-0000-0000-000017000000}"/>
    <cellStyle name="Обычный 4 2" xfId="17" xr:uid="{00000000-0005-0000-0000-000018000000}"/>
    <cellStyle name="Обычный 4 3" xfId="19" xr:uid="{00000000-0005-0000-0000-000019000000}"/>
    <cellStyle name="Обычный 5" xfId="8" xr:uid="{00000000-0005-0000-0000-00001A000000}"/>
    <cellStyle name="Обычный 5 2" xfId="30" xr:uid="{00000000-0005-0000-0000-00001B000000}"/>
    <cellStyle name="Обычный 5 2 2" xfId="423" xr:uid="{00000000-0005-0000-0000-0000A9010000}"/>
    <cellStyle name="Обычный 5 2 3" xfId="422" xr:uid="{00000000-0005-0000-0000-0000AA010000}"/>
    <cellStyle name="Обычный 5 3" xfId="26" xr:uid="{00000000-0005-0000-0000-00001C000000}"/>
    <cellStyle name="Обычный 5 3 2" xfId="456" xr:uid="{00000000-0005-0000-0000-0000AC010000}"/>
    <cellStyle name="Обычный 5 3 2 2" xfId="532" xr:uid="{0D602AE8-E42B-4300-A840-86A796CCDE24}"/>
    <cellStyle name="Обычный 5 3 3" xfId="505" xr:uid="{900FC5AE-0622-4640-A891-32E6298D7D47}"/>
    <cellStyle name="Обычный 5 4" xfId="413" xr:uid="{00000000-0005-0000-0000-0000AD010000}"/>
    <cellStyle name="Обычный 5 5" xfId="443" xr:uid="{00000000-0005-0000-0000-0000AE010000}"/>
    <cellStyle name="Обычный 5 5 2" xfId="519" xr:uid="{F8462FD2-4449-49CF-9934-B27E4B51E844}"/>
    <cellStyle name="Обычный 5 6" xfId="38" xr:uid="{00000000-0005-0000-0000-0000A7010000}"/>
    <cellStyle name="Обычный 6" xfId="28" xr:uid="{00000000-0005-0000-0000-00001D000000}"/>
    <cellStyle name="Обычный 6 2" xfId="420" xr:uid="{00000000-0005-0000-0000-0000B0010000}"/>
    <cellStyle name="Обычный 6 2 2" xfId="458" xr:uid="{00000000-0005-0000-0000-0000B1010000}"/>
    <cellStyle name="Обычный 6 2 2 2" xfId="534" xr:uid="{3821264A-E871-4968-A11D-7F584EE990FF}"/>
    <cellStyle name="Обычный 6 2 3" xfId="507" xr:uid="{45D83941-F2A7-41C8-B54C-42B61AB12585}"/>
    <cellStyle name="Обычный 6 3" xfId="445" xr:uid="{00000000-0005-0000-0000-0000B2010000}"/>
    <cellStyle name="Обычный 6 3 2" xfId="521" xr:uid="{A583335B-8F08-4D34-85CC-3A98981E5B9B}"/>
    <cellStyle name="Обычный 6 4" xfId="494" xr:uid="{0A12C16C-31F4-4B8B-ABCA-D59A429E1B9B}"/>
    <cellStyle name="Обычный 7" xfId="35" xr:uid="{00000000-0005-0000-0000-00001E000000}"/>
    <cellStyle name="Обычный 7 2" xfId="428" xr:uid="{00000000-0005-0000-0000-0000B4010000}"/>
    <cellStyle name="Обычный 7 3" xfId="414" xr:uid="{00000000-0005-0000-0000-0000B3010000}"/>
    <cellStyle name="Обычный 8" xfId="7" xr:uid="{00000000-0005-0000-0000-00001F000000}"/>
    <cellStyle name="Обычный 8 2" xfId="462" xr:uid="{00000000-0005-0000-0000-0000B6010000}"/>
    <cellStyle name="Обычный 8 3" xfId="426" xr:uid="{00000000-0005-0000-0000-0000B5010000}"/>
    <cellStyle name="Обычный 9" xfId="411" xr:uid="{00000000-0005-0000-0000-0000B7010000}"/>
    <cellStyle name="Обычный 9 2" xfId="449" xr:uid="{00000000-0005-0000-0000-0000B8010000}"/>
    <cellStyle name="Обычный 9 2 2" xfId="525" xr:uid="{7044E792-4146-41B3-AA38-BC7BF10B6224}"/>
    <cellStyle name="Обычный 9 3" xfId="498" xr:uid="{BB01FCE4-F8D9-4565-B5E8-FFD20442F89A}"/>
    <cellStyle name="Плохой 2" xfId="44" xr:uid="{00000000-0005-0000-0000-0000B9010000}"/>
    <cellStyle name="Пояснение 2" xfId="52" xr:uid="{00000000-0005-0000-0000-0000BA010000}"/>
    <cellStyle name="Процентный 2" xfId="410" xr:uid="{00000000-0005-0000-0000-0000BB010000}"/>
    <cellStyle name="Процентный 2 2" xfId="433" xr:uid="{00000000-0005-0000-0000-0000BC010000}"/>
    <cellStyle name="Связанная ячейка 2" xfId="49" xr:uid="{00000000-0005-0000-0000-0000BD010000}"/>
    <cellStyle name="Текст предупреждения 2" xfId="51" xr:uid="{00000000-0005-0000-0000-0000BE010000}"/>
    <cellStyle name="Финансовый" xfId="2" builtinId="3"/>
    <cellStyle name="Финансовый [0] 2" xfId="435" xr:uid="{00000000-0005-0000-0000-0000BF010000}"/>
    <cellStyle name="Финансовый 2" xfId="18" xr:uid="{00000000-0005-0000-0000-000021000000}"/>
    <cellStyle name="Финансовый 2 2" xfId="34" xr:uid="{00000000-0005-0000-0000-000022000000}"/>
    <cellStyle name="Финансовый 2 3" xfId="434" xr:uid="{00000000-0005-0000-0000-0000C0010000}"/>
    <cellStyle name="Финансовый 3" xfId="33" xr:uid="{00000000-0005-0000-0000-000023000000}"/>
    <cellStyle name="Хороший 2" xfId="43" xr:uid="{00000000-0005-0000-0000-0000C1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5B16-8A27-41A8-B4F9-313F4DE114FB}">
  <sheetPr>
    <pageSetUpPr fitToPage="1"/>
  </sheetPr>
  <dimension ref="A1:V97"/>
  <sheetViews>
    <sheetView showGridLines="0" tabSelected="1" topLeftCell="A28" zoomScale="90" zoomScaleNormal="90" zoomScaleSheetLayoutView="30" workbookViewId="0">
      <selection activeCell="P70" sqref="P70:Q70"/>
    </sheetView>
  </sheetViews>
  <sheetFormatPr defaultColWidth="9.140625" defaultRowHeight="15"/>
  <cols>
    <col min="1" max="1" width="2" style="48" customWidth="1"/>
    <col min="2" max="2" width="3.7109375" style="48" customWidth="1"/>
    <col min="3" max="3" width="18.7109375" style="48" customWidth="1"/>
    <col min="4" max="4" width="8.5703125" style="49" customWidth="1"/>
    <col min="5" max="5" width="21.28515625" style="49" customWidth="1"/>
    <col min="6" max="6" width="15.7109375" style="49" customWidth="1"/>
    <col min="7" max="7" width="14.140625" style="4" bestFit="1" customWidth="1"/>
    <col min="8" max="8" width="10" style="5" customWidth="1"/>
    <col min="9" max="9" width="12.85546875" style="49" customWidth="1"/>
    <col min="10" max="10" width="11.5703125" style="49" customWidth="1"/>
    <col min="11" max="11" width="23.7109375" style="49" customWidth="1"/>
    <col min="12" max="12" width="24.5703125" style="49" customWidth="1"/>
    <col min="13" max="13" width="11.140625" style="49" bestFit="1" customWidth="1"/>
    <col min="14" max="14" width="7.85546875" style="49" customWidth="1"/>
    <col min="15" max="15" width="13.7109375" style="49" customWidth="1"/>
    <col min="16" max="16" width="10" style="49" customWidth="1"/>
    <col min="17" max="17" width="13.85546875" style="49" bestFit="1" customWidth="1"/>
    <col min="18" max="18" width="10" style="49" customWidth="1"/>
    <col min="19" max="19" width="19" style="49" customWidth="1"/>
    <col min="20" max="20" width="15.28515625" style="49" customWidth="1"/>
    <col min="21" max="21" width="12.85546875" style="48" customWidth="1"/>
    <col min="22" max="22" width="9.140625" style="48"/>
    <col min="23" max="23" width="11.42578125" style="46" bestFit="1" customWidth="1"/>
    <col min="24" max="16384" width="9.140625" style="46"/>
  </cols>
  <sheetData>
    <row r="1" spans="1:22" ht="18.75" customHeight="1">
      <c r="B1" s="11"/>
      <c r="C1" s="11"/>
      <c r="D1" s="11"/>
      <c r="E1" s="11"/>
      <c r="F1" s="11"/>
      <c r="G1" s="11"/>
      <c r="H1" s="12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3"/>
    </row>
    <row r="2" spans="1:22" ht="18.75">
      <c r="B2" s="11"/>
      <c r="C2" s="11"/>
      <c r="D2" s="11"/>
      <c r="E2" s="11"/>
      <c r="F2" s="11"/>
      <c r="G2" s="11"/>
      <c r="H2" s="12"/>
      <c r="I2" s="11"/>
      <c r="J2" s="11"/>
      <c r="K2" s="11"/>
      <c r="L2" s="11"/>
      <c r="M2" s="11"/>
      <c r="N2" s="11"/>
      <c r="O2" s="11"/>
      <c r="P2" s="142" t="s">
        <v>8</v>
      </c>
      <c r="Q2" s="142"/>
      <c r="R2" s="142"/>
      <c r="S2" s="142"/>
      <c r="T2" s="142"/>
      <c r="U2" s="143"/>
    </row>
    <row r="3" spans="1:22" ht="18.75">
      <c r="B3" s="11"/>
      <c r="C3" s="11"/>
      <c r="D3" s="11"/>
      <c r="E3" s="11"/>
      <c r="F3" s="11"/>
      <c r="G3" s="11"/>
      <c r="H3" s="12"/>
      <c r="I3" s="11"/>
      <c r="J3" s="11"/>
      <c r="K3" s="11"/>
      <c r="L3" s="11"/>
      <c r="M3" s="11"/>
      <c r="N3" s="11"/>
      <c r="O3" s="11"/>
      <c r="P3" s="142" t="s">
        <v>5</v>
      </c>
      <c r="Q3" s="142"/>
      <c r="R3" s="142"/>
      <c r="S3" s="142"/>
      <c r="T3" s="142"/>
      <c r="U3" s="143"/>
    </row>
    <row r="4" spans="1:22" ht="18.75">
      <c r="B4" s="11"/>
      <c r="C4" s="11"/>
      <c r="D4" s="11"/>
      <c r="E4" s="11"/>
      <c r="F4" s="11"/>
      <c r="G4" s="11"/>
      <c r="H4" s="12"/>
      <c r="I4" s="11"/>
      <c r="J4" s="11"/>
      <c r="K4" s="11"/>
      <c r="L4" s="11"/>
      <c r="M4" s="11"/>
      <c r="N4" s="11"/>
      <c r="O4" s="11"/>
      <c r="P4" s="144" t="s">
        <v>9</v>
      </c>
      <c r="Q4" s="144"/>
      <c r="R4" s="144"/>
      <c r="S4" s="144"/>
      <c r="T4" s="144"/>
      <c r="U4" s="143"/>
    </row>
    <row r="5" spans="1:22" ht="18.75">
      <c r="B5" s="11"/>
      <c r="C5" s="11"/>
      <c r="D5" s="11"/>
      <c r="E5" s="11"/>
      <c r="F5" s="11"/>
      <c r="G5" s="11"/>
      <c r="H5" s="12"/>
      <c r="I5" s="11"/>
      <c r="J5" s="11"/>
      <c r="K5" s="11"/>
      <c r="L5" s="11"/>
      <c r="M5" s="11"/>
      <c r="N5" s="11"/>
      <c r="O5" s="11"/>
      <c r="P5" s="108"/>
      <c r="Q5" s="108"/>
      <c r="R5" s="108"/>
      <c r="S5" s="108"/>
      <c r="T5" s="108"/>
      <c r="U5" s="41"/>
    </row>
    <row r="6" spans="1:22" ht="18.75">
      <c r="B6" s="11"/>
      <c r="C6" s="11"/>
      <c r="D6" s="11"/>
      <c r="E6" s="11"/>
      <c r="F6" s="11"/>
      <c r="G6" s="11"/>
      <c r="H6" s="12"/>
      <c r="I6" s="11"/>
      <c r="J6" s="11"/>
      <c r="K6" s="14"/>
      <c r="L6" s="11"/>
      <c r="M6" s="11"/>
      <c r="N6" s="11"/>
      <c r="O6" s="11"/>
      <c r="P6" s="142" t="s">
        <v>66</v>
      </c>
      <c r="Q6" s="142"/>
      <c r="R6" s="142"/>
      <c r="S6" s="142"/>
      <c r="T6" s="142"/>
      <c r="U6" s="143"/>
    </row>
    <row r="7" spans="1:22" ht="18.75">
      <c r="B7" s="307" t="s">
        <v>73</v>
      </c>
      <c r="C7" s="307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9"/>
    </row>
    <row r="8" spans="1:22" ht="18.75">
      <c r="B8" s="142" t="s">
        <v>18</v>
      </c>
      <c r="C8" s="142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3"/>
    </row>
    <row r="9" spans="1:22" ht="18.75">
      <c r="B9" s="137" t="s">
        <v>74</v>
      </c>
      <c r="C9" s="137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9"/>
    </row>
    <row r="10" spans="1:22" ht="18.75">
      <c r="B10" s="108"/>
      <c r="C10" s="108"/>
      <c r="D10" s="109"/>
      <c r="E10" s="111"/>
      <c r="F10" s="111"/>
      <c r="G10" s="111"/>
      <c r="H10" s="42"/>
      <c r="I10" s="109"/>
      <c r="J10" s="109"/>
      <c r="K10" s="109"/>
      <c r="L10" s="109"/>
      <c r="M10" s="111"/>
      <c r="N10" s="111"/>
      <c r="O10" s="109"/>
      <c r="P10" s="109"/>
      <c r="Q10" s="109"/>
      <c r="R10" s="109"/>
      <c r="S10" s="109"/>
      <c r="T10" s="109"/>
      <c r="U10" s="41"/>
    </row>
    <row r="11" spans="1:22" s="47" customFormat="1" ht="18.75">
      <c r="A11" s="49"/>
      <c r="B11" s="308" t="s">
        <v>75</v>
      </c>
      <c r="C11" s="308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52"/>
      <c r="V11" s="127"/>
    </row>
    <row r="12" spans="1:22" s="47" customFormat="1" ht="18.75">
      <c r="A12" s="49"/>
      <c r="B12" s="308" t="s">
        <v>76</v>
      </c>
      <c r="C12" s="308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52"/>
      <c r="V12" s="49"/>
    </row>
    <row r="13" spans="1:22" s="47" customFormat="1" ht="18.75">
      <c r="A13" s="49"/>
      <c r="B13" s="140" t="s">
        <v>43</v>
      </c>
      <c r="C13" s="140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52"/>
      <c r="V13" s="49"/>
    </row>
    <row r="14" spans="1:22" s="47" customFormat="1" ht="18.75">
      <c r="A14" s="49"/>
      <c r="B14" s="140" t="s">
        <v>60</v>
      </c>
      <c r="C14" s="140"/>
      <c r="D14" s="140"/>
      <c r="E14" s="140"/>
      <c r="F14" s="310"/>
      <c r="G14" s="59" t="s">
        <v>57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52"/>
      <c r="V14" s="49"/>
    </row>
    <row r="15" spans="1:22" s="47" customFormat="1" ht="18.75">
      <c r="A15" s="49"/>
      <c r="B15" s="140" t="s">
        <v>58</v>
      </c>
      <c r="C15" s="140"/>
      <c r="D15" s="140"/>
      <c r="E15" s="140"/>
      <c r="F15" s="140"/>
      <c r="G15" s="310"/>
      <c r="H15" s="59" t="s">
        <v>57</v>
      </c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52"/>
      <c r="V15" s="49"/>
    </row>
    <row r="16" spans="1:22" s="47" customFormat="1" ht="18.75">
      <c r="A16" s="49"/>
      <c r="B16" s="140" t="s">
        <v>55</v>
      </c>
      <c r="C16" s="140"/>
      <c r="D16" s="140"/>
      <c r="E16" s="140"/>
      <c r="F16" s="310"/>
      <c r="G16" s="59" t="s">
        <v>57</v>
      </c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52"/>
      <c r="V16" s="49"/>
    </row>
    <row r="17" spans="1:22" s="47" customFormat="1" ht="18.75">
      <c r="A17" s="49"/>
      <c r="B17" s="140" t="s">
        <v>59</v>
      </c>
      <c r="C17" s="140"/>
      <c r="D17" s="140"/>
      <c r="E17" s="140"/>
      <c r="F17" s="140"/>
      <c r="G17" s="310"/>
      <c r="H17" s="59" t="s">
        <v>57</v>
      </c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52"/>
      <c r="V17" s="49"/>
    </row>
    <row r="18" spans="1:22" s="47" customFormat="1" ht="18.75">
      <c r="A18" s="49"/>
      <c r="B18" s="112"/>
      <c r="C18" s="112"/>
      <c r="D18" s="113"/>
      <c r="E18" s="113"/>
      <c r="F18" s="113"/>
      <c r="G18" s="111"/>
      <c r="H18" s="42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52"/>
      <c r="V18" s="49"/>
    </row>
    <row r="19" spans="1:22" s="47" customFormat="1" ht="18.75">
      <c r="A19" s="49"/>
      <c r="B19" s="112" t="s">
        <v>20</v>
      </c>
      <c r="C19" s="112"/>
      <c r="D19" s="146" t="s">
        <v>19</v>
      </c>
      <c r="E19" s="146"/>
      <c r="F19" s="311"/>
      <c r="G19" s="61" t="s">
        <v>46</v>
      </c>
      <c r="H19" s="42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52"/>
      <c r="V19" s="49"/>
    </row>
    <row r="20" spans="1:22" s="47" customFormat="1" ht="18.75">
      <c r="A20" s="49"/>
      <c r="B20" s="108"/>
      <c r="C20" s="108"/>
      <c r="D20" s="113"/>
      <c r="E20" s="113"/>
      <c r="F20" s="111"/>
      <c r="G20" s="111"/>
      <c r="H20" s="42"/>
      <c r="I20" s="111"/>
      <c r="J20" s="111"/>
      <c r="K20" s="111"/>
      <c r="L20" s="111"/>
      <c r="M20" s="113"/>
      <c r="N20" s="111"/>
      <c r="O20" s="111"/>
      <c r="P20" s="111"/>
      <c r="Q20" s="111"/>
      <c r="R20" s="111"/>
      <c r="S20" s="111"/>
      <c r="T20" s="111"/>
      <c r="U20" s="52"/>
      <c r="V20" s="49"/>
    </row>
    <row r="21" spans="1:22" s="47" customFormat="1" ht="18.75">
      <c r="A21" s="49"/>
      <c r="B21" s="142" t="s">
        <v>21</v>
      </c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08"/>
      <c r="V21" s="49"/>
    </row>
    <row r="22" spans="1:22" s="47" customFormat="1" ht="18.75">
      <c r="A22" s="49"/>
      <c r="B22" s="108"/>
      <c r="C22" s="108"/>
      <c r="D22" s="43"/>
      <c r="E22" s="43"/>
      <c r="F22" s="44"/>
      <c r="G22" s="44"/>
      <c r="H22" s="45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108"/>
      <c r="U22" s="108"/>
      <c r="V22" s="49"/>
    </row>
    <row r="23" spans="1:22" s="47" customFormat="1" ht="18.75">
      <c r="A23" s="49"/>
      <c r="B23" s="147" t="s">
        <v>6</v>
      </c>
      <c r="C23" s="147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49"/>
    </row>
    <row r="24" spans="1:22" s="47" customFormat="1" ht="16.5" thickBot="1">
      <c r="A24" s="49"/>
      <c r="B24" s="11"/>
      <c r="C24" s="11"/>
      <c r="D24" s="11"/>
      <c r="E24" s="11"/>
      <c r="F24" s="11"/>
      <c r="G24" s="11"/>
      <c r="H24" s="12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49"/>
    </row>
    <row r="25" spans="1:22" s="47" customFormat="1" ht="30.75" customHeight="1">
      <c r="A25" s="49"/>
      <c r="B25" s="148" t="s">
        <v>11</v>
      </c>
      <c r="C25" s="150" t="s">
        <v>1</v>
      </c>
      <c r="D25" s="151"/>
      <c r="E25" s="154" t="s">
        <v>0</v>
      </c>
      <c r="F25" s="155"/>
      <c r="G25" s="157" t="s">
        <v>16</v>
      </c>
      <c r="H25" s="158"/>
      <c r="I25" s="159"/>
      <c r="J25" s="160" t="s">
        <v>36</v>
      </c>
      <c r="K25" s="148" t="s">
        <v>37</v>
      </c>
      <c r="L25" s="154" t="s">
        <v>42</v>
      </c>
      <c r="M25" s="150"/>
      <c r="N25" s="150"/>
      <c r="O25" s="160"/>
      <c r="P25" s="150" t="s">
        <v>38</v>
      </c>
      <c r="Q25" s="150"/>
      <c r="R25" s="150"/>
      <c r="S25" s="160"/>
      <c r="T25" s="150" t="s">
        <v>2</v>
      </c>
      <c r="U25" s="151"/>
      <c r="V25" s="49"/>
    </row>
    <row r="26" spans="1:22" s="47" customFormat="1" ht="16.5" thickBot="1">
      <c r="A26" s="49"/>
      <c r="B26" s="149"/>
      <c r="C26" s="152"/>
      <c r="D26" s="153"/>
      <c r="E26" s="156"/>
      <c r="F26" s="152"/>
      <c r="G26" s="92" t="s">
        <v>41</v>
      </c>
      <c r="H26" s="94" t="s">
        <v>22</v>
      </c>
      <c r="I26" s="91" t="s">
        <v>23</v>
      </c>
      <c r="J26" s="161"/>
      <c r="K26" s="162"/>
      <c r="L26" s="163"/>
      <c r="M26" s="164"/>
      <c r="N26" s="164"/>
      <c r="O26" s="165"/>
      <c r="P26" s="164"/>
      <c r="Q26" s="164"/>
      <c r="R26" s="164"/>
      <c r="S26" s="165"/>
      <c r="T26" s="152"/>
      <c r="U26" s="153"/>
      <c r="V26" s="49"/>
    </row>
    <row r="27" spans="1:22" s="47" customFormat="1" ht="52.5" customHeight="1" thickBot="1">
      <c r="A27" s="49"/>
      <c r="B27" s="19">
        <v>1</v>
      </c>
      <c r="C27" s="166" t="s">
        <v>3</v>
      </c>
      <c r="D27" s="167"/>
      <c r="E27" s="175" t="s">
        <v>10</v>
      </c>
      <c r="F27" s="176"/>
      <c r="G27" s="176"/>
      <c r="H27" s="176"/>
      <c r="I27" s="176"/>
      <c r="J27" s="176"/>
      <c r="K27" s="177"/>
      <c r="L27" s="168"/>
      <c r="M27" s="169"/>
      <c r="N27" s="169"/>
      <c r="O27" s="170"/>
      <c r="P27" s="171"/>
      <c r="Q27" s="171"/>
      <c r="R27" s="171"/>
      <c r="S27" s="172"/>
      <c r="T27" s="173" t="s">
        <v>68</v>
      </c>
      <c r="U27" s="174"/>
      <c r="V27" s="49"/>
    </row>
    <row r="28" spans="1:22" s="1" customFormat="1" ht="16.5" customHeight="1">
      <c r="A28" s="10"/>
      <c r="B28" s="193">
        <v>2</v>
      </c>
      <c r="C28" s="196" t="s">
        <v>4</v>
      </c>
      <c r="D28" s="197"/>
      <c r="E28" s="191"/>
      <c r="F28" s="192"/>
      <c r="G28" s="128"/>
      <c r="H28" s="129"/>
      <c r="I28" s="130">
        <f>H28-G28</f>
        <v>0</v>
      </c>
      <c r="J28" s="131"/>
      <c r="K28" s="132">
        <f>J28*I28</f>
        <v>0</v>
      </c>
      <c r="L28" s="220"/>
      <c r="M28" s="221"/>
      <c r="N28" s="221"/>
      <c r="O28" s="222"/>
      <c r="P28" s="126"/>
      <c r="Q28" s="101"/>
      <c r="R28" s="101"/>
      <c r="S28" s="102"/>
      <c r="T28" s="201" t="s">
        <v>69</v>
      </c>
      <c r="U28" s="202"/>
      <c r="V28" s="10"/>
    </row>
    <row r="29" spans="1:22" s="1" customFormat="1" ht="15.75" customHeight="1">
      <c r="A29" s="10"/>
      <c r="B29" s="194"/>
      <c r="C29" s="198"/>
      <c r="D29" s="199"/>
      <c r="E29" s="133"/>
      <c r="F29" s="134"/>
      <c r="G29" s="128"/>
      <c r="H29" s="129"/>
      <c r="I29" s="130"/>
      <c r="J29" s="131"/>
      <c r="K29" s="132"/>
      <c r="L29" s="223"/>
      <c r="M29" s="224"/>
      <c r="N29" s="224"/>
      <c r="O29" s="225"/>
      <c r="P29" s="126"/>
      <c r="Q29" s="101"/>
      <c r="R29" s="101"/>
      <c r="S29" s="102"/>
      <c r="T29" s="203"/>
      <c r="U29" s="204"/>
      <c r="V29" s="10"/>
    </row>
    <row r="30" spans="1:22" s="1" customFormat="1" ht="16.5" customHeight="1" thickBot="1">
      <c r="A30" s="10"/>
      <c r="B30" s="194"/>
      <c r="C30" s="198"/>
      <c r="D30" s="199"/>
      <c r="E30" s="133"/>
      <c r="F30" s="135"/>
      <c r="G30" s="136"/>
      <c r="H30" s="136"/>
      <c r="I30" s="130"/>
      <c r="J30" s="131"/>
      <c r="K30" s="132"/>
      <c r="L30" s="207"/>
      <c r="M30" s="208"/>
      <c r="N30" s="208"/>
      <c r="O30" s="208"/>
      <c r="P30" s="126"/>
      <c r="Q30" s="101"/>
      <c r="R30" s="101"/>
      <c r="S30" s="102"/>
      <c r="T30" s="203"/>
      <c r="U30" s="204"/>
      <c r="V30" s="10"/>
    </row>
    <row r="31" spans="1:22" s="1" customFormat="1" ht="15.75" hidden="1" customHeight="1">
      <c r="A31" s="10"/>
      <c r="B31" s="194"/>
      <c r="C31" s="198"/>
      <c r="D31" s="199"/>
      <c r="E31" s="90"/>
      <c r="F31" s="85"/>
      <c r="G31" s="99"/>
      <c r="H31" s="99"/>
      <c r="I31" s="95"/>
      <c r="J31" s="97"/>
      <c r="K31" s="70"/>
      <c r="L31" s="217"/>
      <c r="M31" s="218"/>
      <c r="N31" s="218"/>
      <c r="O31" s="219"/>
      <c r="P31" s="207"/>
      <c r="Q31" s="208"/>
      <c r="R31" s="208"/>
      <c r="S31" s="209"/>
      <c r="T31" s="203"/>
      <c r="U31" s="204"/>
      <c r="V31" s="10"/>
    </row>
    <row r="32" spans="1:22" s="1" customFormat="1" ht="15.75" hidden="1" customHeight="1">
      <c r="A32" s="10"/>
      <c r="B32" s="194"/>
      <c r="C32" s="198"/>
      <c r="D32" s="199"/>
      <c r="E32" s="90"/>
      <c r="F32" s="98"/>
      <c r="G32" s="99"/>
      <c r="H32" s="99"/>
      <c r="I32" s="95"/>
      <c r="J32" s="100"/>
      <c r="K32" s="70"/>
      <c r="L32" s="207"/>
      <c r="M32" s="208"/>
      <c r="N32" s="208"/>
      <c r="O32" s="208"/>
      <c r="P32" s="189"/>
      <c r="Q32" s="190"/>
      <c r="R32" s="190"/>
      <c r="S32" s="190"/>
      <c r="T32" s="203"/>
      <c r="U32" s="204"/>
      <c r="V32" s="10"/>
    </row>
    <row r="33" spans="1:22" s="1" customFormat="1" ht="18.75" hidden="1" customHeight="1">
      <c r="A33" s="10"/>
      <c r="B33" s="194"/>
      <c r="C33" s="198"/>
      <c r="D33" s="199"/>
      <c r="E33" s="90"/>
      <c r="F33" s="85"/>
      <c r="G33" s="99"/>
      <c r="H33" s="99"/>
      <c r="I33" s="95"/>
      <c r="J33" s="97"/>
      <c r="K33" s="70"/>
      <c r="L33" s="223"/>
      <c r="M33" s="224"/>
      <c r="N33" s="224"/>
      <c r="O33" s="225"/>
      <c r="P33" s="114"/>
      <c r="Q33" s="104"/>
      <c r="R33" s="104"/>
      <c r="S33" s="105"/>
      <c r="T33" s="203"/>
      <c r="U33" s="204"/>
      <c r="V33" s="10"/>
    </row>
    <row r="34" spans="1:22" s="1" customFormat="1" ht="16.5" hidden="1" customHeight="1">
      <c r="A34" s="10"/>
      <c r="B34" s="194"/>
      <c r="C34" s="198"/>
      <c r="D34" s="199"/>
      <c r="E34" s="84"/>
      <c r="F34" s="85"/>
      <c r="G34" s="122"/>
      <c r="H34" s="123"/>
      <c r="I34" s="95"/>
      <c r="J34" s="70"/>
      <c r="K34" s="70"/>
      <c r="L34" s="226"/>
      <c r="M34" s="227"/>
      <c r="N34" s="227"/>
      <c r="O34" s="228"/>
      <c r="P34" s="73"/>
      <c r="Q34" s="104"/>
      <c r="R34" s="104"/>
      <c r="S34" s="105"/>
      <c r="T34" s="203"/>
      <c r="U34" s="204"/>
      <c r="V34" s="10"/>
    </row>
    <row r="35" spans="1:22" s="1" customFormat="1" ht="15.75" hidden="1">
      <c r="A35" s="10"/>
      <c r="B35" s="194"/>
      <c r="C35" s="198"/>
      <c r="D35" s="199"/>
      <c r="E35" s="84"/>
      <c r="F35" s="85"/>
      <c r="G35" s="121"/>
      <c r="H35" s="124"/>
      <c r="I35" s="95"/>
      <c r="J35" s="79"/>
      <c r="K35" s="79"/>
      <c r="L35" s="189"/>
      <c r="M35" s="190"/>
      <c r="N35" s="190"/>
      <c r="O35" s="190"/>
      <c r="P35" s="120"/>
      <c r="Q35" s="104"/>
      <c r="R35" s="104"/>
      <c r="S35" s="105"/>
      <c r="T35" s="203"/>
      <c r="U35" s="204"/>
      <c r="V35" s="10"/>
    </row>
    <row r="36" spans="1:22" s="1" customFormat="1" ht="15.75" hidden="1">
      <c r="A36" s="10"/>
      <c r="B36" s="194"/>
      <c r="C36" s="198"/>
      <c r="D36" s="199"/>
      <c r="E36" s="84"/>
      <c r="F36" s="85"/>
      <c r="G36" s="93"/>
      <c r="H36" s="125"/>
      <c r="I36" s="95"/>
      <c r="J36" s="79"/>
      <c r="K36" s="79"/>
      <c r="L36" s="189"/>
      <c r="M36" s="190"/>
      <c r="N36" s="190"/>
      <c r="O36" s="190"/>
      <c r="P36" s="120"/>
      <c r="Q36" s="104"/>
      <c r="R36" s="104"/>
      <c r="S36" s="105"/>
      <c r="T36" s="203"/>
      <c r="U36" s="204"/>
      <c r="V36" s="10"/>
    </row>
    <row r="37" spans="1:22" s="1" customFormat="1" ht="15.75" hidden="1">
      <c r="A37" s="10"/>
      <c r="B37" s="194"/>
      <c r="C37" s="198"/>
      <c r="D37" s="199"/>
      <c r="E37" s="84"/>
      <c r="F37" s="85"/>
      <c r="G37" s="65"/>
      <c r="H37" s="68"/>
      <c r="I37" s="87"/>
      <c r="J37" s="70"/>
      <c r="K37" s="70"/>
      <c r="L37" s="81"/>
      <c r="M37" s="82"/>
      <c r="N37" s="82"/>
      <c r="O37" s="83"/>
      <c r="P37" s="104"/>
      <c r="Q37" s="104"/>
      <c r="R37" s="104"/>
      <c r="S37" s="105"/>
      <c r="T37" s="203"/>
      <c r="U37" s="204"/>
      <c r="V37" s="10"/>
    </row>
    <row r="38" spans="1:22" s="1" customFormat="1" ht="15.75" hidden="1">
      <c r="A38" s="10"/>
      <c r="B38" s="194"/>
      <c r="C38" s="198"/>
      <c r="D38" s="199"/>
      <c r="E38" s="84"/>
      <c r="F38" s="85"/>
      <c r="G38" s="65"/>
      <c r="H38" s="68"/>
      <c r="I38" s="87"/>
      <c r="J38" s="70"/>
      <c r="K38" s="70"/>
      <c r="L38" s="81"/>
      <c r="M38" s="82"/>
      <c r="N38" s="82"/>
      <c r="O38" s="83"/>
      <c r="P38" s="104"/>
      <c r="Q38" s="104"/>
      <c r="R38" s="104"/>
      <c r="S38" s="105"/>
      <c r="T38" s="203"/>
      <c r="U38" s="204"/>
      <c r="V38" s="10"/>
    </row>
    <row r="39" spans="1:22" s="1" customFormat="1" ht="16.5" hidden="1" thickBot="1">
      <c r="A39" s="10"/>
      <c r="B39" s="194"/>
      <c r="C39" s="198"/>
      <c r="D39" s="199"/>
      <c r="E39" s="84"/>
      <c r="F39" s="85"/>
      <c r="G39" s="65"/>
      <c r="H39" s="68"/>
      <c r="I39" s="87"/>
      <c r="J39" s="88"/>
      <c r="K39" s="70"/>
      <c r="L39" s="75"/>
      <c r="M39" s="73"/>
      <c r="N39" s="73"/>
      <c r="O39" s="63"/>
      <c r="P39" s="210"/>
      <c r="Q39" s="211"/>
      <c r="R39" s="211"/>
      <c r="S39" s="212"/>
      <c r="T39" s="203"/>
      <c r="U39" s="204"/>
      <c r="V39" s="10"/>
    </row>
    <row r="40" spans="1:22" s="1" customFormat="1" ht="16.5" thickBot="1">
      <c r="A40" s="10"/>
      <c r="B40" s="195"/>
      <c r="C40" s="181"/>
      <c r="D40" s="200"/>
      <c r="E40" s="213" t="s">
        <v>40</v>
      </c>
      <c r="F40" s="213"/>
      <c r="G40" s="214"/>
      <c r="H40" s="215"/>
      <c r="I40" s="215"/>
      <c r="J40" s="216"/>
      <c r="K40" s="71">
        <f>SUM(K28:K39)</f>
        <v>0</v>
      </c>
      <c r="L40" s="175"/>
      <c r="M40" s="176"/>
      <c r="N40" s="176"/>
      <c r="O40" s="177"/>
      <c r="P40" s="178"/>
      <c r="Q40" s="179"/>
      <c r="R40" s="179"/>
      <c r="S40" s="180"/>
      <c r="T40" s="205"/>
      <c r="U40" s="206"/>
      <c r="V40" s="10"/>
    </row>
    <row r="41" spans="1:22" ht="55.5" customHeight="1" thickBot="1">
      <c r="B41" s="103">
        <v>3</v>
      </c>
      <c r="C41" s="181" t="s">
        <v>24</v>
      </c>
      <c r="D41" s="182"/>
      <c r="E41" s="175" t="s">
        <v>10</v>
      </c>
      <c r="F41" s="176"/>
      <c r="G41" s="176"/>
      <c r="H41" s="176"/>
      <c r="I41" s="176"/>
      <c r="J41" s="176"/>
      <c r="K41" s="177"/>
      <c r="L41" s="183"/>
      <c r="M41" s="184"/>
      <c r="N41" s="184"/>
      <c r="O41" s="185"/>
      <c r="P41" s="186"/>
      <c r="Q41" s="187"/>
      <c r="R41" s="187"/>
      <c r="S41" s="188"/>
      <c r="T41" s="173" t="s">
        <v>68</v>
      </c>
      <c r="U41" s="174"/>
    </row>
    <row r="42" spans="1:22" ht="24.75" customHeight="1">
      <c r="B42" s="194">
        <v>4</v>
      </c>
      <c r="C42" s="196" t="s">
        <v>51</v>
      </c>
      <c r="D42" s="243"/>
      <c r="E42" s="276" t="s">
        <v>10</v>
      </c>
      <c r="F42" s="277"/>
      <c r="G42" s="277"/>
      <c r="H42" s="277"/>
      <c r="I42" s="277"/>
      <c r="J42" s="277"/>
      <c r="K42" s="278"/>
      <c r="L42" s="282"/>
      <c r="M42" s="283"/>
      <c r="N42" s="283"/>
      <c r="O42" s="284"/>
      <c r="P42" s="288"/>
      <c r="Q42" s="289"/>
      <c r="R42" s="289"/>
      <c r="S42" s="290"/>
      <c r="T42" s="245" t="s">
        <v>68</v>
      </c>
      <c r="U42" s="202"/>
    </row>
    <row r="43" spans="1:22" ht="24.75" customHeight="1" thickBot="1">
      <c r="B43" s="194"/>
      <c r="C43" s="198"/>
      <c r="D43" s="244"/>
      <c r="E43" s="279"/>
      <c r="F43" s="280"/>
      <c r="G43" s="280"/>
      <c r="H43" s="280"/>
      <c r="I43" s="280"/>
      <c r="J43" s="280"/>
      <c r="K43" s="281"/>
      <c r="L43" s="285"/>
      <c r="M43" s="286"/>
      <c r="N43" s="286"/>
      <c r="O43" s="287"/>
      <c r="P43" s="291"/>
      <c r="Q43" s="292"/>
      <c r="R43" s="292"/>
      <c r="S43" s="293"/>
      <c r="T43" s="246"/>
      <c r="U43" s="204"/>
    </row>
    <row r="44" spans="1:22" ht="24.75" hidden="1" customHeight="1">
      <c r="B44" s="194"/>
      <c r="C44" s="198"/>
      <c r="D44" s="244"/>
      <c r="E44" s="84"/>
      <c r="F44" s="85"/>
      <c r="G44" s="93"/>
      <c r="H44" s="95"/>
      <c r="I44" s="89"/>
      <c r="J44" s="79"/>
      <c r="K44" s="79"/>
      <c r="L44" s="229"/>
      <c r="M44" s="230"/>
      <c r="N44" s="230"/>
      <c r="O44" s="247"/>
      <c r="P44" s="234"/>
      <c r="Q44" s="235"/>
      <c r="R44" s="235"/>
      <c r="S44" s="236"/>
      <c r="T44" s="246"/>
      <c r="U44" s="204"/>
    </row>
    <row r="45" spans="1:22" ht="24.75" hidden="1" customHeight="1">
      <c r="B45" s="194"/>
      <c r="C45" s="198"/>
      <c r="D45" s="244"/>
      <c r="E45" s="84"/>
      <c r="F45" s="85"/>
      <c r="G45" s="93"/>
      <c r="H45" s="96"/>
      <c r="I45" s="89"/>
      <c r="J45" s="79"/>
      <c r="K45" s="79"/>
      <c r="L45" s="229"/>
      <c r="M45" s="230"/>
      <c r="N45" s="230"/>
      <c r="O45" s="230"/>
      <c r="P45" s="231"/>
      <c r="Q45" s="232"/>
      <c r="R45" s="232"/>
      <c r="S45" s="233"/>
      <c r="T45" s="246"/>
      <c r="U45" s="204"/>
    </row>
    <row r="46" spans="1:22" ht="24.75" hidden="1" customHeight="1">
      <c r="B46" s="194"/>
      <c r="C46" s="198"/>
      <c r="D46" s="244"/>
      <c r="E46" s="84"/>
      <c r="F46" s="85"/>
      <c r="G46" s="93"/>
      <c r="H46" s="96"/>
      <c r="I46" s="89"/>
      <c r="J46" s="79"/>
      <c r="K46" s="79"/>
      <c r="L46" s="229"/>
      <c r="M46" s="230"/>
      <c r="N46" s="230"/>
      <c r="O46" s="230"/>
      <c r="P46" s="234"/>
      <c r="Q46" s="235"/>
      <c r="R46" s="235"/>
      <c r="S46" s="236"/>
      <c r="T46" s="246"/>
      <c r="U46" s="204"/>
    </row>
    <row r="47" spans="1:22" ht="24.75" hidden="1" customHeight="1">
      <c r="B47" s="194"/>
      <c r="C47" s="198"/>
      <c r="D47" s="244"/>
      <c r="E47" s="84"/>
      <c r="F47" s="85"/>
      <c r="G47" s="65"/>
      <c r="H47" s="86"/>
      <c r="I47" s="89"/>
      <c r="J47" s="79"/>
      <c r="K47" s="79"/>
      <c r="L47" s="237"/>
      <c r="M47" s="238"/>
      <c r="N47" s="238"/>
      <c r="O47" s="238"/>
      <c r="P47" s="239"/>
      <c r="Q47" s="240"/>
      <c r="R47" s="240"/>
      <c r="S47" s="241"/>
      <c r="T47" s="246"/>
      <c r="U47" s="204"/>
    </row>
    <row r="48" spans="1:22" ht="24.75" hidden="1" customHeight="1">
      <c r="B48" s="194"/>
      <c r="C48" s="198"/>
      <c r="D48" s="244"/>
      <c r="E48" s="84"/>
      <c r="F48" s="85"/>
      <c r="G48" s="65"/>
      <c r="H48" s="86"/>
      <c r="I48" s="89"/>
      <c r="J48" s="79"/>
      <c r="K48" s="79"/>
      <c r="L48" s="237"/>
      <c r="M48" s="238"/>
      <c r="N48" s="238"/>
      <c r="O48" s="238"/>
      <c r="P48" s="239"/>
      <c r="Q48" s="240"/>
      <c r="R48" s="240"/>
      <c r="S48" s="241"/>
      <c r="T48" s="246"/>
      <c r="U48" s="204"/>
    </row>
    <row r="49" spans="2:21" ht="24.75" hidden="1" customHeight="1">
      <c r="B49" s="194"/>
      <c r="C49" s="198"/>
      <c r="D49" s="244"/>
      <c r="E49" s="84"/>
      <c r="F49" s="85"/>
      <c r="G49" s="65"/>
      <c r="H49" s="86"/>
      <c r="I49" s="89"/>
      <c r="J49" s="79"/>
      <c r="K49" s="79"/>
      <c r="L49" s="237"/>
      <c r="M49" s="238"/>
      <c r="N49" s="238"/>
      <c r="O49" s="238"/>
      <c r="P49" s="239"/>
      <c r="Q49" s="240"/>
      <c r="R49" s="240"/>
      <c r="S49" s="241"/>
      <c r="T49" s="246"/>
      <c r="U49" s="204"/>
    </row>
    <row r="50" spans="2:21" ht="24.75" hidden="1" customHeight="1">
      <c r="B50" s="194"/>
      <c r="C50" s="198"/>
      <c r="D50" s="244"/>
      <c r="E50" s="84"/>
      <c r="F50" s="85"/>
      <c r="G50" s="65"/>
      <c r="H50" s="86"/>
      <c r="I50" s="89"/>
      <c r="J50" s="79"/>
      <c r="K50" s="79"/>
      <c r="L50" s="237"/>
      <c r="M50" s="238"/>
      <c r="N50" s="238"/>
      <c r="O50" s="238"/>
      <c r="P50" s="239"/>
      <c r="Q50" s="240"/>
      <c r="R50" s="240"/>
      <c r="S50" s="241"/>
      <c r="T50" s="246"/>
      <c r="U50" s="204"/>
    </row>
    <row r="51" spans="2:21" ht="24.75" hidden="1" customHeight="1">
      <c r="B51" s="194"/>
      <c r="C51" s="198"/>
      <c r="D51" s="244"/>
      <c r="E51" s="84"/>
      <c r="F51" s="85"/>
      <c r="G51" s="65"/>
      <c r="H51" s="86"/>
      <c r="I51" s="89"/>
      <c r="J51" s="79"/>
      <c r="K51" s="79"/>
      <c r="L51" s="237"/>
      <c r="M51" s="238"/>
      <c r="N51" s="238"/>
      <c r="O51" s="238"/>
      <c r="P51" s="239"/>
      <c r="Q51" s="240"/>
      <c r="R51" s="240"/>
      <c r="S51" s="241"/>
      <c r="T51" s="246"/>
      <c r="U51" s="204"/>
    </row>
    <row r="52" spans="2:21" ht="24.75" hidden="1" customHeight="1">
      <c r="B52" s="194"/>
      <c r="C52" s="198"/>
      <c r="D52" s="244"/>
      <c r="E52" s="84"/>
      <c r="F52" s="85"/>
      <c r="G52" s="65"/>
      <c r="H52" s="86"/>
      <c r="I52" s="89"/>
      <c r="J52" s="79"/>
      <c r="K52" s="79"/>
      <c r="L52" s="237"/>
      <c r="M52" s="238"/>
      <c r="N52" s="238"/>
      <c r="O52" s="238"/>
      <c r="P52" s="239"/>
      <c r="Q52" s="240"/>
      <c r="R52" s="240"/>
      <c r="S52" s="241"/>
      <c r="T52" s="246"/>
      <c r="U52" s="204"/>
    </row>
    <row r="53" spans="2:21" ht="24.75" hidden="1" customHeight="1">
      <c r="B53" s="194"/>
      <c r="C53" s="198"/>
      <c r="D53" s="244"/>
      <c r="E53" s="84"/>
      <c r="F53" s="85"/>
      <c r="G53" s="65"/>
      <c r="H53" s="86"/>
      <c r="I53" s="89"/>
      <c r="J53" s="79"/>
      <c r="K53" s="79"/>
      <c r="L53" s="237"/>
      <c r="M53" s="238"/>
      <c r="N53" s="238"/>
      <c r="O53" s="238"/>
      <c r="P53" s="239"/>
      <c r="Q53" s="240"/>
      <c r="R53" s="240"/>
      <c r="S53" s="241"/>
      <c r="T53" s="246"/>
      <c r="U53" s="204"/>
    </row>
    <row r="54" spans="2:21" ht="24.75" hidden="1" customHeight="1">
      <c r="B54" s="194"/>
      <c r="C54" s="198"/>
      <c r="D54" s="244"/>
      <c r="E54" s="84"/>
      <c r="F54" s="85"/>
      <c r="G54" s="65"/>
      <c r="H54" s="86"/>
      <c r="I54" s="89"/>
      <c r="J54" s="79"/>
      <c r="K54" s="79"/>
      <c r="L54" s="237"/>
      <c r="M54" s="238"/>
      <c r="N54" s="238"/>
      <c r="O54" s="238"/>
      <c r="P54" s="239"/>
      <c r="Q54" s="240"/>
      <c r="R54" s="240"/>
      <c r="S54" s="241"/>
      <c r="T54" s="246"/>
      <c r="U54" s="204"/>
    </row>
    <row r="55" spans="2:21" ht="24.75" hidden="1" customHeight="1">
      <c r="B55" s="194"/>
      <c r="C55" s="198"/>
      <c r="D55" s="244"/>
      <c r="E55" s="84"/>
      <c r="F55" s="85"/>
      <c r="G55" s="65"/>
      <c r="H55" s="86"/>
      <c r="I55" s="89"/>
      <c r="J55" s="79"/>
      <c r="K55" s="79"/>
      <c r="L55" s="237"/>
      <c r="M55" s="238"/>
      <c r="N55" s="238"/>
      <c r="O55" s="238"/>
      <c r="P55" s="239"/>
      <c r="Q55" s="240"/>
      <c r="R55" s="240"/>
      <c r="S55" s="241"/>
      <c r="T55" s="246"/>
      <c r="U55" s="204"/>
    </row>
    <row r="56" spans="2:21" ht="24.75" hidden="1" customHeight="1">
      <c r="B56" s="194"/>
      <c r="C56" s="198"/>
      <c r="D56" s="244"/>
      <c r="E56" s="84"/>
      <c r="F56" s="85"/>
      <c r="G56" s="65"/>
      <c r="H56" s="86"/>
      <c r="I56" s="89"/>
      <c r="J56" s="79"/>
      <c r="K56" s="79"/>
      <c r="L56" s="237"/>
      <c r="M56" s="238"/>
      <c r="N56" s="238"/>
      <c r="O56" s="238"/>
      <c r="P56" s="239"/>
      <c r="Q56" s="240"/>
      <c r="R56" s="240"/>
      <c r="S56" s="241"/>
      <c r="T56" s="246"/>
      <c r="U56" s="204"/>
    </row>
    <row r="57" spans="2:21" ht="24.75" hidden="1" customHeight="1">
      <c r="B57" s="194"/>
      <c r="C57" s="198"/>
      <c r="D57" s="244"/>
      <c r="E57" s="84"/>
      <c r="F57" s="85"/>
      <c r="G57" s="65"/>
      <c r="H57" s="86"/>
      <c r="I57" s="89"/>
      <c r="J57" s="79"/>
      <c r="K57" s="79"/>
      <c r="L57" s="237"/>
      <c r="M57" s="238"/>
      <c r="N57" s="238"/>
      <c r="O57" s="238"/>
      <c r="P57" s="239"/>
      <c r="Q57" s="240"/>
      <c r="R57" s="240"/>
      <c r="S57" s="241"/>
      <c r="T57" s="246"/>
      <c r="U57" s="204"/>
    </row>
    <row r="58" spans="2:21" ht="24.75" hidden="1" customHeight="1">
      <c r="B58" s="194"/>
      <c r="C58" s="198"/>
      <c r="D58" s="244"/>
      <c r="E58" s="84"/>
      <c r="F58" s="85"/>
      <c r="G58" s="65"/>
      <c r="H58" s="86"/>
      <c r="I58" s="89"/>
      <c r="J58" s="79"/>
      <c r="K58" s="79"/>
      <c r="L58" s="237"/>
      <c r="M58" s="238"/>
      <c r="N58" s="238"/>
      <c r="O58" s="238"/>
      <c r="P58" s="239"/>
      <c r="Q58" s="240"/>
      <c r="R58" s="240"/>
      <c r="S58" s="241"/>
      <c r="T58" s="246"/>
      <c r="U58" s="204"/>
    </row>
    <row r="59" spans="2:21" ht="24.75" hidden="1" customHeight="1">
      <c r="B59" s="194"/>
      <c r="C59" s="198"/>
      <c r="D59" s="244"/>
      <c r="E59" s="84"/>
      <c r="F59" s="85"/>
      <c r="G59" s="65"/>
      <c r="H59" s="86"/>
      <c r="I59" s="89"/>
      <c r="J59" s="79"/>
      <c r="K59" s="79"/>
      <c r="L59" s="237"/>
      <c r="M59" s="238"/>
      <c r="N59" s="238"/>
      <c r="O59" s="238"/>
      <c r="P59" s="239"/>
      <c r="Q59" s="240"/>
      <c r="R59" s="240"/>
      <c r="S59" s="241"/>
      <c r="T59" s="246"/>
      <c r="U59" s="204"/>
    </row>
    <row r="60" spans="2:21" ht="24.75" hidden="1" customHeight="1">
      <c r="B60" s="194"/>
      <c r="C60" s="198"/>
      <c r="D60" s="244"/>
      <c r="E60" s="84"/>
      <c r="F60" s="85"/>
      <c r="G60" s="65"/>
      <c r="H60" s="86"/>
      <c r="I60" s="89"/>
      <c r="J60" s="79"/>
      <c r="K60" s="79"/>
      <c r="L60" s="237"/>
      <c r="M60" s="238"/>
      <c r="N60" s="238"/>
      <c r="O60" s="238"/>
      <c r="P60" s="239"/>
      <c r="Q60" s="240"/>
      <c r="R60" s="240"/>
      <c r="S60" s="241"/>
      <c r="T60" s="246"/>
      <c r="U60" s="204"/>
    </row>
    <row r="61" spans="2:21" ht="24.75" hidden="1" customHeight="1">
      <c r="B61" s="194"/>
      <c r="C61" s="198"/>
      <c r="D61" s="244"/>
      <c r="E61" s="84"/>
      <c r="F61" s="85"/>
      <c r="G61" s="65"/>
      <c r="H61" s="86"/>
      <c r="I61" s="89"/>
      <c r="J61" s="79"/>
      <c r="K61" s="79"/>
      <c r="L61" s="237"/>
      <c r="M61" s="238"/>
      <c r="N61" s="238"/>
      <c r="O61" s="238"/>
      <c r="P61" s="239"/>
      <c r="Q61" s="240"/>
      <c r="R61" s="240"/>
      <c r="S61" s="241"/>
      <c r="T61" s="246"/>
      <c r="U61" s="204"/>
    </row>
    <row r="62" spans="2:21" ht="24.75" hidden="1" customHeight="1">
      <c r="B62" s="194"/>
      <c r="C62" s="198"/>
      <c r="D62" s="244"/>
      <c r="E62" s="84"/>
      <c r="F62" s="85"/>
      <c r="G62" s="65"/>
      <c r="H62" s="86"/>
      <c r="I62" s="89"/>
      <c r="J62" s="79"/>
      <c r="K62" s="79"/>
      <c r="L62" s="237"/>
      <c r="M62" s="238"/>
      <c r="N62" s="238"/>
      <c r="O62" s="238"/>
      <c r="P62" s="239"/>
      <c r="Q62" s="240"/>
      <c r="R62" s="240"/>
      <c r="S62" s="241"/>
      <c r="T62" s="246"/>
      <c r="U62" s="204"/>
    </row>
    <row r="63" spans="2:21" ht="24.75" hidden="1" customHeight="1">
      <c r="B63" s="194"/>
      <c r="C63" s="198"/>
      <c r="D63" s="244"/>
      <c r="E63" s="84"/>
      <c r="F63" s="85"/>
      <c r="G63" s="65"/>
      <c r="H63" s="86"/>
      <c r="I63" s="89"/>
      <c r="J63" s="79"/>
      <c r="K63" s="79"/>
      <c r="L63" s="237"/>
      <c r="M63" s="238"/>
      <c r="N63" s="238"/>
      <c r="O63" s="238"/>
      <c r="P63" s="239"/>
      <c r="Q63" s="240"/>
      <c r="R63" s="240"/>
      <c r="S63" s="241"/>
      <c r="T63" s="246"/>
      <c r="U63" s="204"/>
    </row>
    <row r="64" spans="2:21" ht="24.75" hidden="1" customHeight="1" thickBot="1">
      <c r="B64" s="194"/>
      <c r="C64" s="198"/>
      <c r="D64" s="244"/>
      <c r="E64" s="84"/>
      <c r="F64" s="85"/>
      <c r="G64" s="65"/>
      <c r="H64" s="86"/>
      <c r="I64" s="89"/>
      <c r="J64" s="79"/>
      <c r="K64" s="79"/>
      <c r="L64" s="237"/>
      <c r="M64" s="238"/>
      <c r="N64" s="238"/>
      <c r="O64" s="238"/>
      <c r="P64" s="294"/>
      <c r="Q64" s="295"/>
      <c r="R64" s="295"/>
      <c r="S64" s="296"/>
      <c r="T64" s="246"/>
      <c r="U64" s="204"/>
    </row>
    <row r="65" spans="1:22" s="2" customFormat="1" ht="21" customHeight="1" thickBot="1">
      <c r="A65" s="8"/>
      <c r="B65" s="242"/>
      <c r="C65" s="181"/>
      <c r="D65" s="200"/>
      <c r="E65" s="175" t="s">
        <v>40</v>
      </c>
      <c r="F65" s="297"/>
      <c r="G65" s="298"/>
      <c r="H65" s="298"/>
      <c r="I65" s="298"/>
      <c r="J65" s="299"/>
      <c r="K65" s="66">
        <f>SUM(K42:K64)</f>
        <v>0</v>
      </c>
      <c r="L65" s="300"/>
      <c r="M65" s="301"/>
      <c r="N65" s="301"/>
      <c r="O65" s="301"/>
      <c r="P65" s="302"/>
      <c r="Q65" s="303"/>
      <c r="R65" s="303"/>
      <c r="S65" s="304"/>
      <c r="T65" s="205"/>
      <c r="U65" s="206"/>
      <c r="V65" s="8"/>
    </row>
    <row r="66" spans="1:22" s="47" customFormat="1" ht="17.25" customHeight="1">
      <c r="A66" s="49"/>
      <c r="B66" s="193">
        <v>5</v>
      </c>
      <c r="C66" s="196" t="s">
        <v>7</v>
      </c>
      <c r="D66" s="197"/>
      <c r="E66" s="249" t="s">
        <v>48</v>
      </c>
      <c r="F66" s="250"/>
      <c r="G66" s="250"/>
      <c r="H66" s="250"/>
      <c r="I66" s="250"/>
      <c r="J66" s="250"/>
      <c r="K66" s="20">
        <f>F19</f>
        <v>0</v>
      </c>
      <c r="L66" s="251" t="s">
        <v>46</v>
      </c>
      <c r="M66" s="251"/>
      <c r="N66" s="251"/>
      <c r="O66" s="251"/>
      <c r="P66" s="251"/>
      <c r="Q66" s="251"/>
      <c r="R66" s="251"/>
      <c r="S66" s="252"/>
      <c r="T66" s="245" t="s">
        <v>68</v>
      </c>
      <c r="U66" s="202"/>
      <c r="V66" s="49"/>
    </row>
    <row r="67" spans="1:22" s="47" customFormat="1" ht="17.25" customHeight="1">
      <c r="A67" s="49"/>
      <c r="B67" s="194"/>
      <c r="C67" s="198"/>
      <c r="D67" s="199"/>
      <c r="E67" s="254" t="s">
        <v>49</v>
      </c>
      <c r="F67" s="255"/>
      <c r="G67" s="255"/>
      <c r="H67" s="255"/>
      <c r="I67" s="255"/>
      <c r="J67" s="255"/>
      <c r="K67" s="21">
        <f>K66+K40</f>
        <v>0</v>
      </c>
      <c r="L67" s="256" t="s">
        <v>46</v>
      </c>
      <c r="M67" s="256"/>
      <c r="N67" s="256"/>
      <c r="O67" s="256"/>
      <c r="P67" s="256"/>
      <c r="Q67" s="256"/>
      <c r="R67" s="256"/>
      <c r="S67" s="257"/>
      <c r="T67" s="246"/>
      <c r="U67" s="204"/>
      <c r="V67" s="49"/>
    </row>
    <row r="68" spans="1:22" s="47" customFormat="1" ht="16.5" thickBot="1">
      <c r="A68" s="49"/>
      <c r="B68" s="242"/>
      <c r="C68" s="181"/>
      <c r="D68" s="248"/>
      <c r="E68" s="258" t="s">
        <v>50</v>
      </c>
      <c r="F68" s="259"/>
      <c r="G68" s="259"/>
      <c r="H68" s="259"/>
      <c r="I68" s="259"/>
      <c r="J68" s="259"/>
      <c r="K68" s="22">
        <f>K67-K66</f>
        <v>0</v>
      </c>
      <c r="L68" s="260" t="str">
        <f>IF(K68&lt;0,"евро в пользу Ритет","евро в пользу Эмас")</f>
        <v>евро в пользу Эмас</v>
      </c>
      <c r="M68" s="260"/>
      <c r="N68" s="260"/>
      <c r="O68" s="260"/>
      <c r="P68" s="260"/>
      <c r="Q68" s="260"/>
      <c r="R68" s="260"/>
      <c r="S68" s="261"/>
      <c r="T68" s="253"/>
      <c r="U68" s="206"/>
      <c r="V68" s="49"/>
    </row>
    <row r="69" spans="1:22" s="47" customFormat="1" ht="15" customHeight="1" thickBot="1">
      <c r="A69" s="49"/>
      <c r="B69" s="266">
        <v>6</v>
      </c>
      <c r="C69" s="171" t="s">
        <v>17</v>
      </c>
      <c r="D69" s="171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71"/>
      <c r="U69" s="172"/>
      <c r="V69" s="6"/>
    </row>
    <row r="70" spans="1:22" s="47" customFormat="1" ht="59.25" customHeight="1" thickBot="1">
      <c r="A70" s="49"/>
      <c r="B70" s="267"/>
      <c r="C70" s="150" t="s">
        <v>29</v>
      </c>
      <c r="D70" s="150"/>
      <c r="E70" s="160"/>
      <c r="F70" s="268" t="s">
        <v>52</v>
      </c>
      <c r="G70" s="269"/>
      <c r="H70" s="268" t="s">
        <v>53</v>
      </c>
      <c r="I70" s="269"/>
      <c r="J70" s="268" t="s">
        <v>54</v>
      </c>
      <c r="K70" s="269"/>
      <c r="L70" s="270" t="s">
        <v>27</v>
      </c>
      <c r="M70" s="172"/>
      <c r="N70" s="268" t="s">
        <v>13</v>
      </c>
      <c r="O70" s="269"/>
      <c r="P70" s="268" t="s">
        <v>15</v>
      </c>
      <c r="Q70" s="269"/>
      <c r="R70" s="268" t="s">
        <v>35</v>
      </c>
      <c r="S70" s="269"/>
      <c r="T70" s="49"/>
    </row>
    <row r="71" spans="1:22" s="47" customFormat="1" ht="22.5" customHeight="1" thickBot="1">
      <c r="A71" s="49"/>
      <c r="B71" s="267"/>
      <c r="C71" s="164"/>
      <c r="D71" s="164"/>
      <c r="E71" s="165"/>
      <c r="F71" s="23" t="s">
        <v>62</v>
      </c>
      <c r="G71" s="115"/>
      <c r="H71" s="25" t="s">
        <v>12</v>
      </c>
      <c r="I71" s="24"/>
      <c r="J71" s="23" t="s">
        <v>12</v>
      </c>
      <c r="K71" s="24"/>
      <c r="L71" s="23" t="s">
        <v>12</v>
      </c>
      <c r="M71" s="24"/>
      <c r="N71" s="23" t="s">
        <v>12</v>
      </c>
      <c r="O71" s="115"/>
      <c r="P71" s="23" t="s">
        <v>12</v>
      </c>
      <c r="Q71" s="115"/>
      <c r="R71" s="23" t="s">
        <v>12</v>
      </c>
      <c r="S71" s="24">
        <f>G71+I71+K71+M71+O71+Q71</f>
        <v>0</v>
      </c>
      <c r="T71" s="49"/>
    </row>
    <row r="72" spans="1:22" s="47" customFormat="1" ht="22.5" customHeight="1" thickBot="1">
      <c r="A72" s="49"/>
      <c r="B72" s="267"/>
      <c r="C72" s="26" t="s">
        <v>34</v>
      </c>
      <c r="D72" s="27" t="s">
        <v>12</v>
      </c>
      <c r="E72" s="107" t="s">
        <v>26</v>
      </c>
      <c r="F72" s="18" t="s">
        <v>14</v>
      </c>
      <c r="G72" s="314"/>
      <c r="H72" s="28" t="s">
        <v>14</v>
      </c>
      <c r="I72" s="314"/>
      <c r="J72" s="18" t="s">
        <v>14</v>
      </c>
      <c r="K72" s="314"/>
      <c r="L72" s="18" t="s">
        <v>14</v>
      </c>
      <c r="M72" s="314"/>
      <c r="N72" s="116" t="s">
        <v>14</v>
      </c>
      <c r="O72" s="314"/>
      <c r="P72" s="116" t="s">
        <v>14</v>
      </c>
      <c r="Q72" s="314"/>
      <c r="R72" s="116" t="s">
        <v>14</v>
      </c>
      <c r="S72" s="117">
        <f>G72+I72+K72+M72+O72+Q72</f>
        <v>0</v>
      </c>
      <c r="T72" s="49"/>
    </row>
    <row r="73" spans="1:22" s="47" customFormat="1" ht="22.5" customHeight="1" thickBot="1">
      <c r="A73" s="49"/>
      <c r="B73" s="149"/>
      <c r="C73" s="110" t="s">
        <v>28</v>
      </c>
      <c r="D73" s="271">
        <f>F19</f>
        <v>0</v>
      </c>
      <c r="E73" s="272"/>
      <c r="F73" s="29" t="s">
        <v>26</v>
      </c>
      <c r="G73" s="30" t="e">
        <f>(G71*U79+G72)*100/(D73*U79)</f>
        <v>#DIV/0!</v>
      </c>
      <c r="H73" s="31" t="s">
        <v>26</v>
      </c>
      <c r="I73" s="30" t="e">
        <f>(I71*U79+I72)*100/(D73*U79)</f>
        <v>#DIV/0!</v>
      </c>
      <c r="J73" s="29" t="s">
        <v>26</v>
      </c>
      <c r="K73" s="30" t="e">
        <f>(K71*U79+K72)*100/(D73*U79)</f>
        <v>#DIV/0!</v>
      </c>
      <c r="L73" s="29" t="s">
        <v>26</v>
      </c>
      <c r="M73" s="30" t="e">
        <f>(M71*U79+M72)*100/(D73*U79)</f>
        <v>#DIV/0!</v>
      </c>
      <c r="N73" s="118" t="s">
        <v>26</v>
      </c>
      <c r="O73" s="119" t="e">
        <f>(O71*U79+O72)*100/(D73*U79)</f>
        <v>#DIV/0!</v>
      </c>
      <c r="P73" s="118" t="s">
        <v>26</v>
      </c>
      <c r="Q73" s="119" t="e">
        <f>(Q71*U79+Q72)*100/(D73*U79)</f>
        <v>#DIV/0!</v>
      </c>
      <c r="R73" s="118" t="s">
        <v>26</v>
      </c>
      <c r="S73" s="119" t="e">
        <f>(S71*U79+S72)*100/(D73*U79)</f>
        <v>#DIV/0!</v>
      </c>
      <c r="T73" s="49"/>
    </row>
    <row r="74" spans="1:22" s="47" customFormat="1" ht="16.5" thickBot="1">
      <c r="A74" s="49"/>
      <c r="B74" s="16"/>
      <c r="C74" s="16"/>
      <c r="D74" s="15"/>
      <c r="E74" s="15"/>
      <c r="F74" s="15"/>
      <c r="G74" s="15"/>
      <c r="H74" s="32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1"/>
      <c r="V74" s="49"/>
    </row>
    <row r="75" spans="1:22" s="47" customFormat="1" ht="21" customHeight="1">
      <c r="A75" s="49"/>
      <c r="B75" s="16"/>
      <c r="C75" s="16"/>
      <c r="D75" s="15"/>
      <c r="E75" s="15"/>
      <c r="F75" s="33"/>
      <c r="G75" s="33"/>
      <c r="H75" s="34"/>
      <c r="I75" s="33"/>
      <c r="J75" s="35"/>
      <c r="K75" s="35"/>
      <c r="L75" s="35"/>
      <c r="M75" s="35"/>
      <c r="N75" s="35"/>
      <c r="O75" s="35"/>
      <c r="P75" s="35"/>
      <c r="Q75" s="35"/>
      <c r="R75" s="35"/>
      <c r="S75" s="273" t="s">
        <v>61</v>
      </c>
      <c r="T75" s="274"/>
      <c r="U75" s="275"/>
      <c r="V75" s="6"/>
    </row>
    <row r="76" spans="1:22" s="47" customFormat="1" ht="21" customHeight="1" thickBot="1">
      <c r="A76" s="49"/>
      <c r="B76" s="16"/>
      <c r="C76" s="16"/>
      <c r="D76" s="36"/>
      <c r="E76" s="37" t="s">
        <v>47</v>
      </c>
      <c r="F76" s="315" t="s">
        <v>72</v>
      </c>
      <c r="G76" s="50"/>
      <c r="H76" s="12"/>
      <c r="I76" s="38"/>
      <c r="J76" s="38"/>
      <c r="K76" s="51" t="s">
        <v>65</v>
      </c>
      <c r="L76" s="51"/>
      <c r="M76" s="35"/>
      <c r="N76" s="35"/>
      <c r="O76" s="11"/>
      <c r="P76" s="11"/>
      <c r="Q76" s="11"/>
      <c r="R76" s="11"/>
      <c r="S76" s="55"/>
      <c r="T76" s="56">
        <f>F16</f>
        <v>0</v>
      </c>
      <c r="U76" s="54" t="s">
        <v>56</v>
      </c>
      <c r="V76" s="49"/>
    </row>
    <row r="77" spans="1:22" s="47" customFormat="1" ht="20.25" customHeight="1" thickBot="1">
      <c r="A77" s="49"/>
      <c r="B77" s="16"/>
      <c r="C77" s="16"/>
      <c r="D77" s="15"/>
      <c r="E77" s="15"/>
      <c r="F77" s="15"/>
      <c r="G77" s="15"/>
      <c r="H77" s="32"/>
      <c r="I77" s="33"/>
      <c r="J77" s="33"/>
      <c r="K77" s="33"/>
      <c r="L77" s="35"/>
      <c r="M77" s="35"/>
      <c r="N77" s="35"/>
      <c r="O77" s="35"/>
      <c r="P77" s="35"/>
      <c r="Q77" s="35"/>
      <c r="R77" s="35"/>
      <c r="S77" s="270" t="s">
        <v>31</v>
      </c>
      <c r="T77" s="172"/>
      <c r="U77" s="106" t="s">
        <v>33</v>
      </c>
      <c r="V77" s="49"/>
    </row>
    <row r="78" spans="1:22" s="47" customFormat="1" ht="15.75">
      <c r="A78" s="49"/>
      <c r="B78" s="16"/>
      <c r="C78" s="16"/>
      <c r="D78" s="16"/>
      <c r="E78" s="16"/>
      <c r="F78" s="16"/>
      <c r="G78" s="16"/>
      <c r="H78" s="17"/>
      <c r="I78" s="16"/>
      <c r="J78" s="16"/>
      <c r="K78" s="16"/>
      <c r="L78" s="35"/>
      <c r="M78" s="35"/>
      <c r="N78" s="35"/>
      <c r="O78" s="35"/>
      <c r="P78" s="35"/>
      <c r="Q78" s="35"/>
      <c r="R78" s="35"/>
      <c r="S78" s="262" t="s">
        <v>32</v>
      </c>
      <c r="T78" s="263"/>
      <c r="U78" s="312"/>
      <c r="V78" s="49"/>
    </row>
    <row r="79" spans="1:22" s="47" customFormat="1" ht="15.75">
      <c r="A79" s="49"/>
      <c r="B79" s="11"/>
      <c r="C79" s="11"/>
      <c r="D79" s="36"/>
      <c r="E79" s="37" t="s">
        <v>44</v>
      </c>
      <c r="F79" s="315" t="s">
        <v>72</v>
      </c>
      <c r="G79" s="50"/>
      <c r="H79" s="17"/>
      <c r="I79" s="38"/>
      <c r="J79" s="38"/>
      <c r="K79" s="39" t="s">
        <v>67</v>
      </c>
      <c r="L79" s="39"/>
      <c r="M79" s="35"/>
      <c r="N79" s="35"/>
      <c r="O79" s="35"/>
      <c r="P79" s="35"/>
      <c r="Q79" s="35"/>
      <c r="R79" s="35"/>
      <c r="S79" s="262" t="s">
        <v>39</v>
      </c>
      <c r="T79" s="263"/>
      <c r="U79" s="313"/>
      <c r="V79" s="49"/>
    </row>
    <row r="80" spans="1:22" s="47" customFormat="1" ht="16.5" thickBot="1">
      <c r="A80" s="49"/>
      <c r="B80" s="11"/>
      <c r="C80" s="11"/>
      <c r="D80" s="16"/>
      <c r="E80" s="16"/>
      <c r="F80" s="16"/>
      <c r="G80" s="16"/>
      <c r="H80" s="17"/>
      <c r="I80" s="16"/>
      <c r="J80" s="16"/>
      <c r="K80" s="16"/>
      <c r="L80" s="35"/>
      <c r="M80" s="35"/>
      <c r="N80" s="35"/>
      <c r="O80" s="35"/>
      <c r="P80" s="35"/>
      <c r="Q80" s="35"/>
      <c r="R80" s="35"/>
      <c r="S80" s="264" t="s">
        <v>30</v>
      </c>
      <c r="T80" s="265"/>
      <c r="U80" s="40" t="e">
        <f>U79/U78</f>
        <v>#DIV/0!</v>
      </c>
      <c r="V80" s="49"/>
    </row>
    <row r="81" spans="1:22" s="47" customFormat="1" ht="15.75">
      <c r="A81" s="49"/>
      <c r="B81" s="11"/>
      <c r="C81" s="11"/>
      <c r="D81" s="16"/>
      <c r="E81" s="16"/>
      <c r="F81" s="16"/>
      <c r="G81" s="16"/>
      <c r="H81" s="17"/>
      <c r="I81" s="16"/>
      <c r="J81" s="16"/>
      <c r="K81" s="16"/>
      <c r="L81" s="15"/>
      <c r="M81" s="15"/>
      <c r="N81" s="15"/>
      <c r="O81" s="15"/>
      <c r="P81" s="15"/>
      <c r="Q81" s="15"/>
      <c r="R81" s="15"/>
      <c r="S81" s="35"/>
      <c r="T81" s="15"/>
      <c r="U81" s="11"/>
      <c r="V81" s="49"/>
    </row>
    <row r="82" spans="1:22" s="47" customFormat="1" ht="15.75">
      <c r="A82" s="49"/>
      <c r="B82" s="11"/>
      <c r="C82" s="11"/>
      <c r="D82" s="36"/>
      <c r="E82" s="37" t="s">
        <v>25</v>
      </c>
      <c r="F82" s="315" t="s">
        <v>72</v>
      </c>
      <c r="G82" s="50"/>
      <c r="H82" s="17"/>
      <c r="I82" s="38"/>
      <c r="J82" s="38"/>
      <c r="K82" s="37" t="s">
        <v>45</v>
      </c>
      <c r="L82" s="51"/>
      <c r="M82" s="11"/>
      <c r="N82" s="11"/>
      <c r="O82" s="11"/>
      <c r="P82" s="11"/>
      <c r="Q82" s="11"/>
      <c r="R82" s="11"/>
      <c r="S82" s="15"/>
      <c r="T82" s="15"/>
      <c r="U82" s="11"/>
      <c r="V82" s="49"/>
    </row>
    <row r="83" spans="1:22" s="47" customFormat="1" ht="15.75">
      <c r="A83" s="49"/>
      <c r="B83" s="11"/>
      <c r="C83" s="11"/>
      <c r="D83" s="11"/>
      <c r="E83" s="11"/>
      <c r="F83" s="11"/>
      <c r="G83" s="11"/>
      <c r="H83" s="12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49"/>
    </row>
    <row r="84" spans="1:22">
      <c r="A84" s="46"/>
      <c r="B84" s="9"/>
      <c r="C84" s="9"/>
      <c r="D84" s="9"/>
      <c r="E84" s="9"/>
      <c r="F84" s="9"/>
      <c r="G84" s="9"/>
      <c r="H84" s="3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46"/>
    </row>
    <row r="85" spans="1:22">
      <c r="A85" s="46"/>
      <c r="B85" s="9"/>
      <c r="C85" s="9"/>
      <c r="D85" s="9"/>
      <c r="E85" s="9"/>
      <c r="F85" s="9"/>
      <c r="G85" s="9"/>
      <c r="H85" s="3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46"/>
    </row>
    <row r="86" spans="1:22">
      <c r="A86" s="46"/>
      <c r="B86" s="9"/>
      <c r="C86" s="9"/>
      <c r="D86" s="9"/>
      <c r="E86" s="9"/>
      <c r="F86" s="9"/>
      <c r="G86" s="9"/>
      <c r="H86" s="3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46"/>
    </row>
    <row r="87" spans="1:22">
      <c r="A87" s="46"/>
      <c r="B87" s="9"/>
      <c r="C87" s="9"/>
      <c r="D87" s="9"/>
      <c r="E87" s="9"/>
      <c r="F87" s="9"/>
      <c r="G87" s="9"/>
      <c r="H87" s="3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46"/>
    </row>
    <row r="94" spans="1:22">
      <c r="A94" s="46"/>
      <c r="J94" s="6"/>
      <c r="V94" s="46"/>
    </row>
    <row r="95" spans="1:22">
      <c r="A95" s="46"/>
      <c r="M95" s="7"/>
      <c r="V95" s="46"/>
    </row>
    <row r="96" spans="1:22">
      <c r="A96" s="46"/>
      <c r="J96" s="6"/>
      <c r="V96" s="46"/>
    </row>
    <row r="97" spans="1:22">
      <c r="A97" s="46"/>
      <c r="M97" s="7"/>
      <c r="V97" s="46"/>
    </row>
  </sheetData>
  <mergeCells count="133">
    <mergeCell ref="E42:K43"/>
    <mergeCell ref="L42:O43"/>
    <mergeCell ref="P42:S43"/>
    <mergeCell ref="L63:O63"/>
    <mergeCell ref="P63:S63"/>
    <mergeCell ref="L64:O64"/>
    <mergeCell ref="P64:S64"/>
    <mergeCell ref="E65:F65"/>
    <mergeCell ref="G65:J65"/>
    <mergeCell ref="L65:O65"/>
    <mergeCell ref="P65:S65"/>
    <mergeCell ref="L60:O60"/>
    <mergeCell ref="P60:S60"/>
    <mergeCell ref="L61:O61"/>
    <mergeCell ref="P61:S61"/>
    <mergeCell ref="L62:O62"/>
    <mergeCell ref="P62:S62"/>
    <mergeCell ref="L49:O49"/>
    <mergeCell ref="P49:S49"/>
    <mergeCell ref="L50:O50"/>
    <mergeCell ref="P50:S50"/>
    <mergeCell ref="P57:S57"/>
    <mergeCell ref="L58:O58"/>
    <mergeCell ref="P58:S58"/>
    <mergeCell ref="T66:U68"/>
    <mergeCell ref="E67:J67"/>
    <mergeCell ref="L67:S67"/>
    <mergeCell ref="E68:J68"/>
    <mergeCell ref="L68:S68"/>
    <mergeCell ref="S79:T79"/>
    <mergeCell ref="S80:T80"/>
    <mergeCell ref="B69:B73"/>
    <mergeCell ref="C69:U69"/>
    <mergeCell ref="C70:E71"/>
    <mergeCell ref="F70:G70"/>
    <mergeCell ref="H70:I70"/>
    <mergeCell ref="J70:K70"/>
    <mergeCell ref="L70:M70"/>
    <mergeCell ref="N70:O70"/>
    <mergeCell ref="P70:Q70"/>
    <mergeCell ref="R70:S70"/>
    <mergeCell ref="D73:E73"/>
    <mergeCell ref="S75:U75"/>
    <mergeCell ref="S77:T77"/>
    <mergeCell ref="S78:T78"/>
    <mergeCell ref="L55:O55"/>
    <mergeCell ref="P55:S55"/>
    <mergeCell ref="L56:O56"/>
    <mergeCell ref="P56:S56"/>
    <mergeCell ref="L57:O57"/>
    <mergeCell ref="B66:B68"/>
    <mergeCell ref="C66:D68"/>
    <mergeCell ref="E66:J66"/>
    <mergeCell ref="L66:S66"/>
    <mergeCell ref="L45:O45"/>
    <mergeCell ref="P45:S45"/>
    <mergeCell ref="L46:O46"/>
    <mergeCell ref="P46:S46"/>
    <mergeCell ref="L47:O47"/>
    <mergeCell ref="P47:S47"/>
    <mergeCell ref="T41:U41"/>
    <mergeCell ref="B42:B65"/>
    <mergeCell ref="C42:D65"/>
    <mergeCell ref="T42:U65"/>
    <mergeCell ref="L44:O44"/>
    <mergeCell ref="P44:S44"/>
    <mergeCell ref="L51:O51"/>
    <mergeCell ref="P51:S51"/>
    <mergeCell ref="L52:O52"/>
    <mergeCell ref="P52:S52"/>
    <mergeCell ref="L53:O53"/>
    <mergeCell ref="P53:S53"/>
    <mergeCell ref="L48:O48"/>
    <mergeCell ref="P48:S48"/>
    <mergeCell ref="L59:O59"/>
    <mergeCell ref="P59:S59"/>
    <mergeCell ref="L54:O54"/>
    <mergeCell ref="P54:S54"/>
    <mergeCell ref="B28:B40"/>
    <mergeCell ref="C28:D40"/>
    <mergeCell ref="T28:U40"/>
    <mergeCell ref="L30:O30"/>
    <mergeCell ref="P31:S31"/>
    <mergeCell ref="L32:O32"/>
    <mergeCell ref="P32:S32"/>
    <mergeCell ref="P39:S39"/>
    <mergeCell ref="E40:F40"/>
    <mergeCell ref="G40:J40"/>
    <mergeCell ref="L31:O31"/>
    <mergeCell ref="L28:O28"/>
    <mergeCell ref="L29:O29"/>
    <mergeCell ref="L33:O33"/>
    <mergeCell ref="L34:O34"/>
    <mergeCell ref="C27:D27"/>
    <mergeCell ref="L27:O27"/>
    <mergeCell ref="P27:S27"/>
    <mergeCell ref="T27:U27"/>
    <mergeCell ref="L40:O40"/>
    <mergeCell ref="P40:S40"/>
    <mergeCell ref="C41:D41"/>
    <mergeCell ref="E41:K41"/>
    <mergeCell ref="L41:O41"/>
    <mergeCell ref="P41:S41"/>
    <mergeCell ref="L35:O35"/>
    <mergeCell ref="L36:O36"/>
    <mergeCell ref="E27:K27"/>
    <mergeCell ref="E28:F28"/>
    <mergeCell ref="B16:E16"/>
    <mergeCell ref="B17:F17"/>
    <mergeCell ref="D19:E19"/>
    <mergeCell ref="B21:T21"/>
    <mergeCell ref="B23:U23"/>
    <mergeCell ref="B25:B26"/>
    <mergeCell ref="C25:D26"/>
    <mergeCell ref="E25:F26"/>
    <mergeCell ref="G25:I25"/>
    <mergeCell ref="J25:J26"/>
    <mergeCell ref="K25:K26"/>
    <mergeCell ref="L25:O26"/>
    <mergeCell ref="P25:S26"/>
    <mergeCell ref="T25:U26"/>
    <mergeCell ref="B9:U9"/>
    <mergeCell ref="B11:T11"/>
    <mergeCell ref="B12:T12"/>
    <mergeCell ref="B13:T13"/>
    <mergeCell ref="B14:E14"/>
    <mergeCell ref="B15:F15"/>
    <mergeCell ref="P2:U2"/>
    <mergeCell ref="P3:U3"/>
    <mergeCell ref="P4:U4"/>
    <mergeCell ref="P6:U6"/>
    <mergeCell ref="B7:U7"/>
    <mergeCell ref="B8:U8"/>
  </mergeCells>
  <pageMargins left="0.23622047244094491" right="0.23622047244094491" top="0.35433070866141736" bottom="0.15748031496062992" header="0.31496062992125984" footer="0.31496062992125984"/>
  <pageSetup paperSize="9" scale="50" fitToHeight="2" orientation="landscape" r:id="rId1"/>
  <rowBreaks count="1" manualBreakCount="1">
    <brk id="65" max="20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D60B-6CEE-457F-9BC0-4212DDC6B4B6}">
  <dimension ref="A1:V38"/>
  <sheetViews>
    <sheetView workbookViewId="0">
      <selection activeCell="L17" sqref="L17"/>
    </sheetView>
  </sheetViews>
  <sheetFormatPr defaultRowHeight="15"/>
  <cols>
    <col min="1" max="1" width="15.7109375" bestFit="1" customWidth="1"/>
    <col min="2" max="2" width="20.28515625" bestFit="1" customWidth="1"/>
    <col min="3" max="3" width="4.140625" customWidth="1"/>
    <col min="4" max="4" width="13.140625" customWidth="1"/>
    <col min="5" max="5" width="16.42578125" customWidth="1"/>
    <col min="6" max="6" width="12.7109375" bestFit="1" customWidth="1"/>
    <col min="7" max="7" width="14" customWidth="1"/>
    <col min="8" max="8" width="18" bestFit="1" customWidth="1"/>
    <col min="9" max="9" width="11.28515625" bestFit="1" customWidth="1"/>
    <col min="10" max="10" width="12.7109375" bestFit="1" customWidth="1"/>
    <col min="11" max="11" width="10.140625" bestFit="1" customWidth="1"/>
    <col min="12" max="12" width="12.7109375" bestFit="1" customWidth="1"/>
    <col min="13" max="15" width="13.140625" bestFit="1" customWidth="1"/>
    <col min="16" max="16" width="13.140625" customWidth="1"/>
    <col min="17" max="17" width="13.140625" bestFit="1" customWidth="1"/>
    <col min="18" max="18" width="13.7109375" bestFit="1" customWidth="1"/>
  </cols>
  <sheetData>
    <row r="1" spans="1:22" ht="15.75" customHeight="1">
      <c r="A1" s="69" t="s">
        <v>61</v>
      </c>
    </row>
    <row r="2" spans="1:22" ht="16.5" customHeight="1" thickBot="1">
      <c r="A2" s="80">
        <f>'Отгрузка ЭМАС 3.1 в 2026'!F16</f>
        <v>0</v>
      </c>
    </row>
    <row r="3" spans="1:22" ht="16.5" thickBot="1">
      <c r="A3" s="64" t="s">
        <v>63</v>
      </c>
      <c r="B3" s="57" t="s">
        <v>33</v>
      </c>
      <c r="U3" s="49"/>
      <c r="V3" s="47"/>
    </row>
    <row r="4" spans="1:22" ht="15.75">
      <c r="A4" s="78" t="s">
        <v>32</v>
      </c>
      <c r="B4" s="76">
        <f>'Отгрузка ЭМАС 3.1 в 2026'!U78</f>
        <v>0</v>
      </c>
      <c r="U4" s="49"/>
      <c r="V4" s="47"/>
    </row>
    <row r="5" spans="1:22" ht="15.75">
      <c r="A5" s="62" t="s">
        <v>39</v>
      </c>
      <c r="B5" s="74">
        <f>'Отгрузка ЭМАС 3.1 в 2026'!U79</f>
        <v>0</v>
      </c>
      <c r="U5" s="49"/>
      <c r="V5" s="47"/>
    </row>
    <row r="6" spans="1:22" ht="16.5" thickBot="1">
      <c r="A6" s="67" t="s">
        <v>30</v>
      </c>
      <c r="B6" s="77" t="e">
        <f>B5/B4</f>
        <v>#DIV/0!</v>
      </c>
      <c r="C6" s="15"/>
      <c r="U6" s="49"/>
      <c r="V6" s="47"/>
    </row>
    <row r="7" spans="1:22" ht="16.5" thickBot="1">
      <c r="A7" s="16"/>
      <c r="B7" s="15"/>
      <c r="C7" s="33"/>
      <c r="D7" s="33"/>
      <c r="E7" s="34"/>
      <c r="F7" s="33"/>
      <c r="G7" s="35"/>
      <c r="H7" s="35"/>
      <c r="I7" s="35"/>
      <c r="J7" s="35"/>
      <c r="K7" s="35"/>
      <c r="L7" s="35"/>
      <c r="M7" s="35"/>
      <c r="N7" s="35"/>
      <c r="O7" s="35"/>
    </row>
    <row r="8" spans="1:22" ht="16.5" thickBot="1">
      <c r="A8" s="305" t="s">
        <v>17</v>
      </c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4"/>
    </row>
    <row r="9" spans="1:22" ht="33" customHeight="1" thickBot="1">
      <c r="A9" s="154" t="s">
        <v>29</v>
      </c>
      <c r="B9" s="150"/>
      <c r="C9" s="160"/>
      <c r="D9" s="268" t="s">
        <v>52</v>
      </c>
      <c r="E9" s="269"/>
      <c r="F9" s="268" t="s">
        <v>53</v>
      </c>
      <c r="G9" s="269"/>
      <c r="H9" s="268" t="s">
        <v>54</v>
      </c>
      <c r="I9" s="269"/>
      <c r="J9" s="270" t="s">
        <v>27</v>
      </c>
      <c r="K9" s="172"/>
      <c r="L9" s="268" t="s">
        <v>13</v>
      </c>
      <c r="M9" s="269"/>
      <c r="N9" s="268" t="s">
        <v>15</v>
      </c>
      <c r="O9" s="269"/>
      <c r="P9" s="268" t="s">
        <v>35</v>
      </c>
      <c r="Q9" s="269"/>
    </row>
    <row r="10" spans="1:22" ht="16.5" thickBot="1">
      <c r="A10" s="163"/>
      <c r="B10" s="164"/>
      <c r="C10" s="165"/>
      <c r="D10" s="23" t="s">
        <v>62</v>
      </c>
      <c r="E10" s="24">
        <f>'Отгрузка ЭМАС 3.1 в 2026'!G71</f>
        <v>0</v>
      </c>
      <c r="F10" s="25" t="s">
        <v>12</v>
      </c>
      <c r="G10" s="24"/>
      <c r="H10" s="23" t="s">
        <v>12</v>
      </c>
      <c r="I10" s="24"/>
      <c r="J10" s="23" t="s">
        <v>12</v>
      </c>
      <c r="K10" s="24"/>
      <c r="L10" s="23" t="s">
        <v>12</v>
      </c>
      <c r="M10" s="24"/>
      <c r="N10" s="23" t="s">
        <v>12</v>
      </c>
      <c r="O10" s="24"/>
      <c r="P10" s="23" t="s">
        <v>12</v>
      </c>
      <c r="Q10" s="24">
        <f>E10+G10+I10+K10+M10+O10</f>
        <v>0</v>
      </c>
    </row>
    <row r="11" spans="1:22" ht="16.5" thickBot="1">
      <c r="A11" s="72" t="s">
        <v>34</v>
      </c>
      <c r="B11" s="26" t="s">
        <v>12</v>
      </c>
      <c r="C11" s="58" t="s">
        <v>26</v>
      </c>
      <c r="D11" s="18" t="s">
        <v>14</v>
      </c>
      <c r="E11" s="53">
        <f>'Отгрузка ЭМАС 3.1 в 2026'!G72</f>
        <v>0</v>
      </c>
      <c r="F11" s="28" t="s">
        <v>14</v>
      </c>
      <c r="G11" s="53">
        <f>'Отгрузка ЭМАС 3.1 в 2026'!I72</f>
        <v>0</v>
      </c>
      <c r="H11" s="18" t="s">
        <v>14</v>
      </c>
      <c r="I11" s="53">
        <f>'Отгрузка ЭМАС 3.1 в 2026'!K72</f>
        <v>0</v>
      </c>
      <c r="J11" s="18" t="s">
        <v>14</v>
      </c>
      <c r="K11" s="53">
        <f>'Отгрузка ЭМАС 3.1 в 2026'!M72</f>
        <v>0</v>
      </c>
      <c r="L11" s="18" t="s">
        <v>14</v>
      </c>
      <c r="M11" s="53">
        <f>'Отгрузка ЭМАС 3.1 в 2026'!O72</f>
        <v>0</v>
      </c>
      <c r="N11" s="18" t="s">
        <v>14</v>
      </c>
      <c r="O11" s="53">
        <f>'Отгрузка ЭМАС 3.1 в 2026'!Q72</f>
        <v>0</v>
      </c>
      <c r="P11" s="18" t="s">
        <v>14</v>
      </c>
      <c r="Q11" s="53">
        <f>E11+G11+I11+K11+M11+O11</f>
        <v>0</v>
      </c>
    </row>
    <row r="12" spans="1:22" ht="16.5" thickBot="1">
      <c r="A12" s="72" t="s">
        <v>28</v>
      </c>
      <c r="B12" s="306">
        <f>'Отгрузка ЭМАС 3.1 в 2026'!F19</f>
        <v>0</v>
      </c>
      <c r="C12" s="272"/>
      <c r="D12" s="29" t="s">
        <v>26</v>
      </c>
      <c r="E12" s="30" t="e">
        <f>(E10*B5+E11)*100/(B12*B5)</f>
        <v>#DIV/0!</v>
      </c>
      <c r="F12" s="31" t="s">
        <v>26</v>
      </c>
      <c r="G12" s="30" t="e">
        <f>(G10*B5+G11)*100/(B12*B5)</f>
        <v>#DIV/0!</v>
      </c>
      <c r="H12" s="29" t="s">
        <v>26</v>
      </c>
      <c r="I12" s="30" t="e">
        <f>(I10*B5+I11)*100/(B12*B5)</f>
        <v>#DIV/0!</v>
      </c>
      <c r="J12" s="29" t="s">
        <v>26</v>
      </c>
      <c r="K12" s="30" t="e">
        <f>(K10*B5+K11)*100/(B12*B5)</f>
        <v>#DIV/0!</v>
      </c>
      <c r="L12" s="29" t="s">
        <v>26</v>
      </c>
      <c r="M12" s="30" t="e">
        <f>(M10*B5+M11)*100/(B12*B5)</f>
        <v>#DIV/0!</v>
      </c>
      <c r="N12" s="29" t="s">
        <v>26</v>
      </c>
      <c r="O12" s="30" t="e">
        <f>(O10*B5+O11)*100/(B12*B5)</f>
        <v>#DIV/0!</v>
      </c>
      <c r="P12" s="29" t="s">
        <v>26</v>
      </c>
      <c r="Q12" s="30" t="e">
        <f>(Q10*B5+Q11)*100/(B12*B5)</f>
        <v>#DIV/0!</v>
      </c>
    </row>
    <row r="13" spans="1:22" ht="15.75">
      <c r="A13" s="11"/>
    </row>
    <row r="14" spans="1:22" ht="15.75">
      <c r="A14" s="11"/>
      <c r="J14" s="37" t="s">
        <v>44</v>
      </c>
      <c r="L14" s="50" t="str">
        <f>'Отгрузка ЭМАС 3.1 в 2026'!F76</f>
        <v>"  "                 2026г.</v>
      </c>
      <c r="M14" s="50"/>
      <c r="N14" s="38"/>
      <c r="O14" s="38"/>
      <c r="P14" s="37" t="s">
        <v>71</v>
      </c>
    </row>
    <row r="15" spans="1:22" ht="15.75">
      <c r="A15" s="11"/>
      <c r="J15" s="16"/>
      <c r="L15" s="16"/>
      <c r="M15" s="16"/>
      <c r="N15" s="16"/>
      <c r="O15" s="16"/>
      <c r="P15" s="16"/>
    </row>
    <row r="16" spans="1:22" ht="15.75">
      <c r="J16" s="16"/>
      <c r="L16" s="16"/>
      <c r="M16" s="16"/>
      <c r="N16" s="16"/>
      <c r="O16" s="16"/>
      <c r="P16" s="16"/>
    </row>
    <row r="17" spans="10:16" ht="15.75">
      <c r="J17" s="37" t="s">
        <v>25</v>
      </c>
      <c r="L17" s="50" t="s">
        <v>70</v>
      </c>
      <c r="M17" s="50"/>
      <c r="N17" s="38"/>
      <c r="O17" s="38"/>
      <c r="P17" s="37" t="s">
        <v>64</v>
      </c>
    </row>
    <row r="38" spans="2:8" ht="15.75">
      <c r="B38" s="11"/>
      <c r="C38" s="11"/>
      <c r="D38" s="11"/>
      <c r="E38" s="12"/>
      <c r="F38" s="11"/>
      <c r="G38" s="11"/>
      <c r="H38" s="11"/>
    </row>
  </sheetData>
  <mergeCells count="10">
    <mergeCell ref="A8:Q8"/>
    <mergeCell ref="B12:C12"/>
    <mergeCell ref="A9:C10"/>
    <mergeCell ref="D9:E9"/>
    <mergeCell ref="F9:G9"/>
    <mergeCell ref="H9:I9"/>
    <mergeCell ref="J9:K9"/>
    <mergeCell ref="L9:M9"/>
    <mergeCell ref="N9:O9"/>
    <mergeCell ref="P9:Q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Отгрузка ЭМАС 3.1 в 2026</vt:lpstr>
      <vt:lpstr>Затраты на доставку и ТО</vt:lpstr>
      <vt:lpstr>'Отгрузка ЭМАС 3.1 в 2026'!Print_Area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</dc:creator>
  <cp:lastModifiedBy>Репина</cp:lastModifiedBy>
  <cp:lastPrinted>2026-07-14T10:13:22Z</cp:lastPrinted>
  <dcterms:created xsi:type="dcterms:W3CDTF">2015-06-19T06:33:16Z</dcterms:created>
  <dcterms:modified xsi:type="dcterms:W3CDTF">2026-07-15T09:46:38Z</dcterms:modified>
</cp:coreProperties>
</file>